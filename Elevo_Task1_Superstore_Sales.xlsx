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InkAnnotation="0" hidePivotFieldList="1" autoCompressPictures="0"/>
  <xr:revisionPtr revIDLastSave="0" documentId="8_{C814E353-6477-4870-B513-1383864B7A32}" xr6:coauthVersionLast="47" xr6:coauthVersionMax="47" xr10:uidLastSave="{00000000-0000-0000-0000-000000000000}"/>
  <bookViews>
    <workbookView xWindow="0" yWindow="0" windowWidth="0" windowHeight="0" firstSheet="9" activeTab="9" xr2:uid="{00000000-000D-0000-FFFF-FFFF00000000}"/>
  </bookViews>
  <sheets>
    <sheet name="Sheet1" sheetId="3" r:id="rId1"/>
    <sheet name="Sheet2" sheetId="4" r:id="rId2"/>
    <sheet name="Sheet4" sheetId="6" r:id="rId3"/>
    <sheet name="Sheet3" sheetId="5" r:id="rId4"/>
    <sheet name="Sheet5" sheetId="7" r:id="rId5"/>
    <sheet name="Sheet6" sheetId="8" r:id="rId6"/>
    <sheet name="Sheet7" sheetId="9" r:id="rId7"/>
    <sheet name="Superstore Sales" sheetId="1" r:id="rId8"/>
    <sheet name="Task 1 Guide" sheetId="2" r:id="rId9"/>
    <sheet name="Dashboard" sheetId="10" r:id="rId10"/>
  </sheets>
  <definedNames>
    <definedName name="Slicer_Category">#N/A</definedName>
    <definedName name="Slicer_Region">#N/A</definedName>
  </definedNames>
  <calcPr calcId="191028" refMode="R1C1" iterateCount="0" calcOnSave="0" concurrentCalc="0"/>
  <pivotCaches>
    <pivotCache cacheId="16" r:id="rId11"/>
    <pivotCache cacheId="17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<sst xmlns="http://schemas.openxmlformats.org/spreadsheetml/2006/main" count="1064" uniqueCount="303">
  <si>
    <t>Region</t>
  </si>
  <si>
    <t>Sum of Revenue2</t>
  </si>
  <si>
    <t>Central</t>
  </si>
  <si>
    <t>East</t>
  </si>
  <si>
    <t>South</t>
  </si>
  <si>
    <t>West</t>
  </si>
  <si>
    <t>Grand Total</t>
  </si>
  <si>
    <t>Category</t>
  </si>
  <si>
    <t>Sum of Quantity</t>
  </si>
  <si>
    <t>Furniture</t>
  </si>
  <si>
    <t>Office Supplies</t>
  </si>
  <si>
    <t>Technology</t>
  </si>
  <si>
    <t>Order Date</t>
  </si>
  <si>
    <t>Sum of Revenue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</si>
  <si>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</si>
  <si>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</si>
  <si>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</si>
  <si>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</si>
  <si>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</si>
  <si>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</si>
  <si>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</si>
  <si>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</si>
  <si>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</si>
  <si>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</si>
  <si>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</si>
  <si>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</si>
  <si>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</si>
  <si>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ID</t>
  </si>
  <si>
    <t>Product</t>
  </si>
  <si>
    <t>Quantity</t>
  </si>
  <si>
    <t>Unit Price</t>
  </si>
  <si>
    <t>Revenue</t>
  </si>
  <si>
    <t>ORD-0001</t>
  </si>
  <si>
    <t>Laptop</t>
  </si>
  <si>
    <t>ORD-0002</t>
  </si>
  <si>
    <t>Office Chair</t>
  </si>
  <si>
    <t>ORD-0003</t>
  </si>
  <si>
    <t>Desk</t>
  </si>
  <si>
    <t>ORD-0004</t>
  </si>
  <si>
    <t>Printer</t>
  </si>
  <si>
    <t>ORD-0005</t>
  </si>
  <si>
    <t>Storage Cabinet</t>
  </si>
  <si>
    <t>ORD-0006</t>
  </si>
  <si>
    <t>ORD-0007</t>
  </si>
  <si>
    <t>ORD-0008</t>
  </si>
  <si>
    <t>Keyboard</t>
  </si>
  <si>
    <t>ORD-0009</t>
  </si>
  <si>
    <t>ORD-0010</t>
  </si>
  <si>
    <t>Pens Set</t>
  </si>
  <si>
    <t>ORD-0011</t>
  </si>
  <si>
    <t>ORD-0012</t>
  </si>
  <si>
    <t>Monitor</t>
  </si>
  <si>
    <t>ORD-0013</t>
  </si>
  <si>
    <t>ORD-0014</t>
  </si>
  <si>
    <t>Bookshelf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</si>
  <si>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</si>
  <si>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</si>
  <si>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</si>
  <si>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</si>
  <si>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</si>
  <si>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</si>
  <si>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</si>
  <si>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</si>
  <si>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</si>
  <si>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</si>
  <si>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</si>
  <si>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</si>
  <si>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</si>
  <si>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</si>
  <si>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</si>
  <si>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Labels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</si>
  <si>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</si>
  <si>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</si>
  <si>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</si>
  <si>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</si>
  <si>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</si>
  <si>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</si>
  <si>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</si>
  <si>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</si>
  <si>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Binders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</si>
  <si>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</si>
  <si>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</si>
  <si>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</si>
  <si>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</si>
  <si>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</si>
  <si>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</si>
  <si>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</si>
  <si>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</si>
  <si>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</si>
  <si>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</si>
  <si>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</si>
  <si>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Paper Pack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</si>
  <si>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</si>
  <si>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</si>
  <si>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</si>
  <si>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</si>
  <si>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</si>
  <si>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</si>
  <si>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</si>
  <si>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</si>
  <si>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</si>
  <si>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</si>
  <si>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</si>
  <si>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</si>
  <si>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</si>
  <si>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</si>
  <si>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</si>
  <si>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</si>
  <si>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</si>
  <si>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</si>
  <si>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</si>
  <si>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</si>
  <si>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</si>
  <si>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</si>
  <si>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</si>
  <si>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</si>
  <si>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</si>
  <si>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</si>
  <si>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</si>
  <si>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</si>
  <si>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</si>
  <si>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</si>
  <si>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</si>
  <si>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</si>
  <si>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</si>
  <si>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</si>
  <si>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</si>
  <si>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</si>
  <si>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</si>
  <si>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</si>
  <si>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</si>
  <si>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</si>
  <si>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</si>
  <si>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</si>
  <si>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</si>
  <si>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</si>
  <si>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</si>
  <si>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</si>
  <si>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</si>
  <si>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</si>
  <si>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</si>
  <si>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</si>
  <si>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</si>
  <si>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</si>
  <si>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</si>
  <si>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</si>
  <si>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</si>
  <si>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</si>
  <si>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</si>
  <si>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</si>
  <si>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</si>
  <si>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</si>
  <si>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</si>
  <si>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</si>
  <si>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</si>
  <si>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</si>
  <si>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</si>
  <si>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</si>
  <si>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</si>
  <si>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</si>
  <si>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</si>
  <si>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</si>
  <si>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</si>
  <si>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</si>
  <si>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</si>
  <si>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</si>
  <si>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</si>
  <si>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</si>
  <si>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</si>
  <si>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</si>
  <si>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</si>
  <si>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</si>
  <si>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</si>
  <si>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</si>
  <si>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</si>
  <si>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</si>
  <si>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</si>
  <si>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</si>
  <si>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</si>
  <si>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</si>
  <si>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</si>
  <si>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</si>
  <si>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</si>
  <si>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</si>
  <si>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</si>
  <si>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</si>
  <si>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</si>
  <si>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</si>
  <si>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</si>
  <si>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</si>
  <si>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</si>
  <si>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</si>
  <si>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</si>
  <si>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</si>
  <si>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</si>
  <si>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</si>
  <si>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</si>
  <si>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</si>
  <si>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</si>
  <si>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</si>
  <si>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</si>
  <si>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</si>
  <si>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</si>
  <si>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</si>
  <si>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</si>
  <si>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</si>
  <si>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</si>
  <si>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</si>
  <si>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</si>
  <si>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</si>
  <si>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</si>
  <si>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</si>
  <si>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</si>
  <si>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</si>
  <si>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</si>
  <si>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</si>
  <si>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</si>
  <si>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</si>
  <si>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</si>
  <si>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</si>
  <si>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</si>
  <si>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</si>
  <si>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</si>
  <si>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</si>
  <si>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</si>
  <si>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</si>
  <si>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</si>
  <si>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</si>
  <si>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</si>
  <si>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</si>
  <si>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</si>
  <si>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</si>
  <si>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</si>
  <si>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</si>
  <si>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</si>
  <si>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</si>
  <si>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</si>
  <si>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</si>
  <si>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</si>
  <si>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</si>
  <si>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</si>
  <si>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</si>
  <si>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</si>
  <si>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</si>
  <si>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</si>
  <si>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</si>
  <si>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</si>
  <si>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</si>
  <si>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</si>
  <si>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</si>
  <si>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</si>
  <si>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</si>
  <si>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</si>
  <si>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</si>
  <si>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</si>
  <si>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</si>
  <si>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</si>
  <si>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</si>
  <si>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</si>
  <si>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</si>
  <si>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</si>
  <si>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</si>
  <si>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</si>
  <si>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</si>
  <si>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</si>
  <si>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</si>
  <si>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</si>
  <si>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</si>
  <si>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</si>
  <si>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</si>
  <si>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</si>
  <si>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</si>
  <si>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</si>
  <si>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</si>
  <si>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</si>
  <si>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</si>
  <si>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</si>
  <si>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</si>
  <si>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</si>
  <si>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</si>
  <si>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</si>
  <si>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</si>
  <si>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</si>
  <si>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</si>
  <si>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Elevo Task 1 — Sales Performance Dashboard Using Excel</t>
  </si>
  <si>
    <t>Step</t>
  </si>
  <si>
    <t>What to do</t>
  </si>
  <si>
    <t>Excel feature</t>
  </si>
  <si>
    <t>Status</t>
  </si>
  <si>
    <t>Review and clean the Superstore Sales sheet</t>
  </si>
  <si>
    <t>Data &gt; Remove Duplicates / Filters</t>
  </si>
  <si>
    <t>Not Started</t>
  </si>
  <si>
    <t>Create PivotTable: Total Revenue by Region</t>
  </si>
  <si>
    <t>Insert &gt; PivotTable</t>
  </si>
  <si>
    <t>Create PivotTable: Units Sold by Category</t>
  </si>
  <si>
    <t>Create monthly sales trend</t>
  </si>
  <si>
    <t>PivotTable + group Order Date by Month</t>
  </si>
  <si>
    <t>Create readable charts from the PivotTables</t>
  </si>
  <si>
    <t>Insert &gt; Charts</t>
  </si>
  <si>
    <t>Build one Dashboard sheet and arrange charts/KPIs</t>
  </si>
  <si>
    <t>Charts + formatting</t>
  </si>
  <si>
    <t>Bonus: add Region and Category slicers</t>
  </si>
  <si>
    <t>PivotTable Analyze &gt; Insert Slicer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</si>
</sst>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8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[Elevo_Task1_Superstore_Sales.xlsx]Sheet1!PivotTable1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#,##0.00</c:formatCode>
                <c:ptCount val="4"/>
                <c:pt idx="0">
                  <c:v>62238.909999999989</c:v>
                </c:pt>
                <c:pt idx="1">
                  <c:v>40817.400000000009</c:v>
                </c:pt>
                <c:pt idx="2">
                  <c:v>58214.479999999989</c:v>
                </c:pt>
                <c:pt idx="3">
                  <c:v>38404.279999999992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8-4099-8803-81F8A7EC7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7059335"/>
        <c:axId val="1217061383"/>
      </c:barChart>
      <c:catAx>
        <c:axId val="121705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61383"/>
        <c:crosses val="autoZero"/>
        <c:auto val="1"/>
        <c:lblAlgn val="ctr"/>
        <c:lblOffset val="100"/>
        <c:noMultiLvlLbl val="0"/>
      </c:catAx>
      <c:valAx>
        <c:axId val="121706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5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[Elevo_Task1_Superstore_Sales.xlsx]Sheet2!PivotTable2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327</c:v>
                </c:pt>
                <c:pt idx="1">
                  <c:v>415</c:v>
                </c:pt>
                <c:pt idx="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26D-B5EC-9C57AB775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935815"/>
        <c:axId val="674937863"/>
      </c:barChart>
      <c:catAx>
        <c:axId val="674935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7863"/>
        <c:crosses val="autoZero"/>
        <c:auto val="1"/>
        <c:lblAlgn val="ctr"/>
        <c:lblOffset val="100"/>
        <c:noMultiLvlLbl val="0"/>
      </c:catAx>
      <c:valAx>
        <c:axId val="67493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[Elevo_Task1_Superstore_Sales.xlsx]Sheet7!PivotTable7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7728.1400000000012</c:v>
                </c:pt>
                <c:pt idx="1">
                  <c:v>15063.79</c:v>
                </c:pt>
                <c:pt idx="2">
                  <c:v>17203.55</c:v>
                </c:pt>
                <c:pt idx="3">
                  <c:v>21495.840000000004</c:v>
                </c:pt>
                <c:pt idx="4">
                  <c:v>21373.399999999994</c:v>
                </c:pt>
                <c:pt idx="5">
                  <c:v>6418.34</c:v>
                </c:pt>
                <c:pt idx="6">
                  <c:v>18026.330000000002</c:v>
                </c:pt>
                <c:pt idx="7">
                  <c:v>18921.7</c:v>
                </c:pt>
                <c:pt idx="8">
                  <c:v>5438.9699999999993</c:v>
                </c:pt>
                <c:pt idx="9">
                  <c:v>26678.189999999991</c:v>
                </c:pt>
                <c:pt idx="10">
                  <c:v>22636.27</c:v>
                </c:pt>
                <c:pt idx="11">
                  <c:v>18690.550000000007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5-4025-BA11-6972262A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91815"/>
        <c:axId val="191993863"/>
      </c:lineChart>
      <c:catAx>
        <c:axId val="19199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3863"/>
        <c:crosses val="autoZero"/>
        <c:auto val="1"/>
        <c:lblAlgn val="ctr"/>
        <c:lblOffset val="100"/>
        <c:noMultiLvlLbl val="0"/>
      </c:catAx>
      <c:valAx>
        <c:axId val="19199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[Elevo_Task1_Superstore_Sales.xlsx]Sheet1!PivotTable1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0486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486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#,##0.00</c:formatCode>
                <c:ptCount val="4"/>
                <c:pt idx="0">
                  <c:v>62238.909999999989</c:v>
                </c:pt>
                <c:pt idx="1">
                  <c:v>40817.400000000009</c:v>
                </c:pt>
                <c:pt idx="2">
                  <c:v>58214.479999999989</c:v>
                </c:pt>
                <c:pt idx="3">
                  <c:v>38404.279999999992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A-4CD3-9DE1-05CCA56D4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7059335"/>
        <c:axId val="1217061383"/>
      </c:barChart>
      <c:catAx>
        <c:axId val="121705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61383"/>
        <c:crosses val="autoZero"/>
        <c:auto val="1"/>
        <c:lblAlgn val="ctr"/>
        <c:lblOffset val="100"/>
        <c:noMultiLvlLbl val="0"/>
      </c:catAx>
      <c:valAx>
        <c:axId val="121706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59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BE2D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[Elevo_Task1_Superstore_Sales.xlsx]Sheet2!PivotTable2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0486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486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327</c:v>
                </c:pt>
                <c:pt idx="1">
                  <c:v>415</c:v>
                </c:pt>
                <c:pt idx="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1AA-95FB-30AB1634C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935815"/>
        <c:axId val="674937863"/>
      </c:barChart>
      <c:catAx>
        <c:axId val="674935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7863"/>
        <c:crosses val="autoZero"/>
        <c:auto val="1"/>
        <c:lblAlgn val="ctr"/>
        <c:lblOffset val="100"/>
        <c:noMultiLvlLbl val="0"/>
      </c:catAx>
      <c:valAx>
        <c:axId val="67493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5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BE2D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[Elevo_Task1_Superstore_Sales.xlsx]Sheet7!PivotTable7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10486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0486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7728.1400000000012</c:v>
                </c:pt>
                <c:pt idx="1">
                  <c:v>15063.79</c:v>
                </c:pt>
                <c:pt idx="2">
                  <c:v>17203.55</c:v>
                </c:pt>
                <c:pt idx="3">
                  <c:v>21495.840000000004</c:v>
                </c:pt>
                <c:pt idx="4">
                  <c:v>21373.399999999994</c:v>
                </c:pt>
                <c:pt idx="5">
                  <c:v>6418.34</c:v>
                </c:pt>
                <c:pt idx="6">
                  <c:v>18026.330000000002</c:v>
                </c:pt>
                <c:pt idx="7">
                  <c:v>18921.7</c:v>
                </c:pt>
                <c:pt idx="8">
                  <c:v>5438.9699999999993</c:v>
                </c:pt>
                <c:pt idx="9">
                  <c:v>26678.189999999991</c:v>
                </c:pt>
                <c:pt idx="10">
                  <c:v>22636.27</c:v>
                </c:pt>
                <c:pt idx="11">
                  <c:v>18690.550000000007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4-46C1-8FEA-5E377ED1D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91815"/>
        <c:axId val="191993863"/>
      </c:lineChart>
      <c:catAx>
        <c:axId val="19199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3863"/>
        <c:crosses val="autoZero"/>
        <c:auto val="1"/>
        <c:lblAlgn val="ctr"/>
        <c:lblOffset val="100"/>
        <c:noMultiLvlLbl val="0"/>
      </c:catAx>
      <c:valAx>
        <c:axId val="19199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1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FBE2D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0</xdr:rowOff>
    </xdr:from>
    <xdr:to>
      <xdr:col>8</xdr:col>
      <xdr:colOff>238125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622DB-9587-992C-92FD-575B20464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95250</xdr:colOff>
      <xdr:row>5</xdr:row>
      <xdr:rowOff>95250</xdr:rowOff>
    </xdr:from>
    <xdr:to>
      <xdr:col>9</xdr:col>
      <xdr:colOff>552450</xdr:colOff>
      <xdr:row>20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2F74C1A2-F920-856E-3BE6-46FF32144E6B}"/>
                </a:ext>
                <a:ext uri="{147F2762-F138-4A5C-976F-8EAC2B608ADB}">
                  <a16:predDERef xmlns:a16="http://schemas.microsoft.com/office/drawing/2014/main" pred="{6D2622DB-9587-992C-92FD-575B204647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3625" y="1000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152400</xdr:rowOff>
    </xdr:from>
    <xdr:to>
      <xdr:col>8</xdr:col>
      <xdr:colOff>476250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F50D8-A3D8-172A-007C-36AC84307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495300</xdr:colOff>
      <xdr:row>5</xdr:row>
      <xdr:rowOff>95250</xdr:rowOff>
    </xdr:from>
    <xdr:to>
      <xdr:col>10</xdr:col>
      <xdr:colOff>266700</xdr:colOff>
      <xdr:row>20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A05395EA-C559-7E30-EDBD-1255F36DC3EF}"/>
                </a:ext>
                <a:ext uri="{147F2762-F138-4A5C-976F-8EAC2B608ADB}">
                  <a16:predDERef xmlns:a16="http://schemas.microsoft.com/office/drawing/2014/main" pred="{0BAF50D8-A3D8-172A-007C-36AC843075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3625" y="1000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161925</xdr:rowOff>
    </xdr:from>
    <xdr:to>
      <xdr:col>8</xdr:col>
      <xdr:colOff>514350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4E6F2-E217-4866-CF68-40E424CBC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628650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FB766-1120-4429-B797-4F3420B69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628650</xdr:colOff>
      <xdr:row>6</xdr:row>
      <xdr:rowOff>9525</xdr:rowOff>
    </xdr:from>
    <xdr:to>
      <xdr:col>13</xdr:col>
      <xdr:colOff>514350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884CD-9AA4-4612-910A-5E7E78C89035}"/>
            </a:ext>
            <a:ext uri="{147F2762-F138-4A5C-976F-8EAC2B608ADB}">
              <a16:predDERef xmlns:a16="http://schemas.microsoft.com/office/drawing/2014/main" pred="{152FB766-1120-4429-B797-4F3420B69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504825</xdr:colOff>
      <xdr:row>6</xdr:row>
      <xdr:rowOff>0</xdr:rowOff>
    </xdr:from>
    <xdr:to>
      <xdr:col>20</xdr:col>
      <xdr:colOff>314325</xdr:colOff>
      <xdr:row>27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57091F-6436-4689-B1F9-800DFB7FBA5B}"/>
            </a:ext>
            <a:ext uri="{147F2762-F138-4A5C-976F-8EAC2B608ADB}">
              <a16:predDERef xmlns:a16="http://schemas.microsoft.com/office/drawing/2014/main" pred="{2B9884CD-9AA4-4612-910A-5E7E78C89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20</xdr:col>
      <xdr:colOff>381000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23B1D1-85A1-5E5D-FC00-8B949DB2B7CA}"/>
            </a:ext>
            <a:ext uri="{147F2762-F138-4A5C-976F-8EAC2B608ADB}">
              <a16:predDERef xmlns:a16="http://schemas.microsoft.com/office/drawing/2014/main" pred="{9857091F-6436-4689-B1F9-800DFB7FBA5B}"/>
            </a:ext>
          </a:extLst>
        </xdr:cNvPr>
        <xdr:cNvSpPr txBox="1"/>
      </xdr:nvSpPr>
      <xdr:spPr>
        <a:xfrm>
          <a:off x="0" y="9525"/>
          <a:ext cx="14163675" cy="352425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SUPERSTORE SALES DASHBOARD</a:t>
          </a:r>
          <a:endParaRPr lang="en-US" sz="20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2000" b="1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0</xdr:colOff>
      <xdr:row>1</xdr:row>
      <xdr:rowOff>171450</xdr:rowOff>
    </xdr:from>
    <xdr:to>
      <xdr:col>6</xdr:col>
      <xdr:colOff>619125</xdr:colOff>
      <xdr:row>5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FAECEF4-57DC-6CCE-5EE7-AD2C6E12642E}"/>
            </a:ext>
            <a:ext uri="{147F2762-F138-4A5C-976F-8EAC2B608ADB}">
              <a16:predDERef xmlns:a16="http://schemas.microsoft.com/office/drawing/2014/main" pred="{5F23B1D1-85A1-5E5D-FC00-8B949DB2B7CA}"/>
            </a:ext>
          </a:extLst>
        </xdr:cNvPr>
        <xdr:cNvSpPr/>
      </xdr:nvSpPr>
      <xdr:spPr>
        <a:xfrm>
          <a:off x="0" y="352425"/>
          <a:ext cx="4800600" cy="723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Total Revenue</a:t>
          </a:r>
        </a:p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199,675.07</a:t>
          </a:r>
        </a:p>
      </xdr:txBody>
    </xdr:sp>
    <xdr:clientData/>
  </xdr:twoCellAnchor>
  <xdr:twoCellAnchor>
    <xdr:from>
      <xdr:col>6</xdr:col>
      <xdr:colOff>581025</xdr:colOff>
      <xdr:row>1</xdr:row>
      <xdr:rowOff>171450</xdr:rowOff>
    </xdr:from>
    <xdr:to>
      <xdr:col>13</xdr:col>
      <xdr:colOff>514350</xdr:colOff>
      <xdr:row>5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B217F78-0578-B232-619B-7A3785A643DB}"/>
            </a:ext>
            <a:ext uri="{147F2762-F138-4A5C-976F-8EAC2B608ADB}">
              <a16:predDERef xmlns:a16="http://schemas.microsoft.com/office/drawing/2014/main" pred="{0FAECEF4-57DC-6CCE-5EE7-AD2C6E12642E}"/>
            </a:ext>
          </a:extLst>
        </xdr:cNvPr>
        <xdr:cNvSpPr/>
      </xdr:nvSpPr>
      <xdr:spPr>
        <a:xfrm>
          <a:off x="4762500" y="352425"/>
          <a:ext cx="4733925" cy="723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Total Units Sold</a:t>
          </a:r>
        </a:p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1,083</a:t>
          </a:r>
        </a:p>
      </xdr:txBody>
    </xdr:sp>
    <xdr:clientData/>
  </xdr:twoCellAnchor>
  <xdr:twoCellAnchor>
    <xdr:from>
      <xdr:col>13</xdr:col>
      <xdr:colOff>495300</xdr:colOff>
      <xdr:row>1</xdr:row>
      <xdr:rowOff>171450</xdr:rowOff>
    </xdr:from>
    <xdr:to>
      <xdr:col>20</xdr:col>
      <xdr:colOff>333375</xdr:colOff>
      <xdr:row>5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467EE49-E6C7-47F4-22DB-A80E92834076}"/>
            </a:ext>
            <a:ext uri="{147F2762-F138-4A5C-976F-8EAC2B608ADB}">
              <a16:predDERef xmlns:a16="http://schemas.microsoft.com/office/drawing/2014/main" pred="{BB217F78-0578-B232-619B-7A3785A643DB}"/>
            </a:ext>
          </a:extLst>
        </xdr:cNvPr>
        <xdr:cNvSpPr/>
      </xdr:nvSpPr>
      <xdr:spPr>
        <a:xfrm>
          <a:off x="9477375" y="352425"/>
          <a:ext cx="4638675" cy="723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Top Region</a:t>
          </a:r>
        </a:p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Central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565700694446" createdVersion="8" refreshedVersion="8" minRefreshableVersion="3" recordCount="240" xr:uid="{A436F614-86E0-4CD4-AEA7-E430718C7081}">
  <cacheSource type="worksheet">
    <worksheetSource name="SalesTable"/>
  </cacheSource>
  <cacheFields count="8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2-30T00:00:00" count="169">
        <d v="2025-05-06T00:00:00"/>
        <d v="2025-01-17T00:00:00"/>
        <d v="2025-01-14T00:00:00"/>
        <d v="2025-05-23T00:00:00"/>
        <d v="2025-04-21T00:00:00"/>
        <d v="2025-06-26T00:00:00"/>
        <d v="2025-07-13T00:00:00"/>
        <d v="2025-12-27T00:00:00"/>
        <d v="2025-04-30T00:00:00"/>
        <d v="2025-07-06T00:00:00"/>
        <d v="2025-12-26T00:00:00"/>
        <d v="2025-07-14T00:00:00"/>
        <d v="2025-01-29T00:00:00"/>
        <d v="2025-04-19T00:00:00"/>
        <d v="2025-11-26T00:00:00"/>
        <d v="2025-10-15T00:00:00"/>
        <d v="2025-03-12T00:00:00"/>
        <d v="2025-03-23T00:00:00"/>
        <d v="2025-08-28T00:00:00"/>
        <d v="2025-10-02T00:00:00"/>
        <d v="2025-03-22T00:00:00"/>
        <d v="2025-02-24T00:00:00"/>
        <d v="2025-03-24T00:00:00"/>
        <d v="2025-07-05T00:00:00"/>
        <d v="2025-02-10T00:00:00"/>
        <d v="2025-09-30T00:00:00"/>
        <d v="2025-11-07T00:00:00"/>
        <d v="2025-12-10T00:00:00"/>
        <d v="2025-02-02T00:00:00"/>
        <d v="2025-12-29T00:00:00"/>
        <d v="2025-02-06T00:00:00"/>
        <d v="2025-10-20T00:00:00"/>
        <d v="2025-02-19T00:00:00"/>
        <d v="2025-01-28T00:00:00"/>
        <d v="2025-02-25T00:00:00"/>
        <d v="2025-04-04T00:00:00"/>
        <d v="2025-10-09T00:00:00"/>
        <d v="2025-05-02T00:00:00"/>
        <d v="2025-07-25T00:00:00"/>
        <d v="2025-05-16T00:00:00"/>
        <d v="2025-06-01T00:00:00"/>
        <d v="2025-10-27T00:00:00"/>
        <d v="2025-02-11T00:00:00"/>
        <d v="2025-10-19T00:00:00"/>
        <d v="2025-10-26T00:00:00"/>
        <d v="2025-07-22T00:00:00"/>
        <d v="2025-02-07T00:00:00"/>
        <d v="2025-09-17T00:00:00"/>
        <d v="2025-07-09T00:00:00"/>
        <d v="2025-12-01T00:00:00"/>
        <d v="2025-03-10T00:00:00"/>
        <d v="2025-11-06T00:00:00"/>
        <d v="2025-05-22T00:00:00"/>
        <d v="2025-05-15T00:00:00"/>
        <d v="2025-02-27T00:00:00"/>
        <d v="2025-01-21T00:00:00"/>
        <d v="2025-10-14T00:00:00"/>
        <d v="2025-04-01T00:00:00"/>
        <d v="2025-07-30T00:00:00"/>
        <d v="2025-01-20T00:00:00"/>
        <d v="2025-04-27T00:00:00"/>
        <d v="2025-02-05T00:00:00"/>
        <d v="2025-03-01T00:00:00"/>
        <d v="2025-08-11T00:00:00"/>
        <d v="2025-09-19T00:00:00"/>
        <d v="2025-08-12T00:00:00"/>
        <d v="2025-12-07T00:00:00"/>
        <d v="2025-06-03T00:00:00"/>
        <d v="2025-03-31T00:00:00"/>
        <d v="2025-08-09T00:00:00"/>
        <d v="2025-12-06T00:00:00"/>
        <d v="2025-04-12T00:00:00"/>
        <d v="2025-11-09T00:00:00"/>
        <d v="2025-07-16T00:00:00"/>
        <d v="2025-01-03T00:00:00"/>
        <d v="2025-12-23T00:00:00"/>
        <d v="2025-08-26T00:00:00"/>
        <d v="2025-09-01T00:00:00"/>
        <d v="2025-09-24T00:00:00"/>
        <d v="2025-05-27T00:00:00"/>
        <d v="2025-12-28T00:00:00"/>
        <d v="2025-08-27T00:00:00"/>
        <d v="2025-06-30T00:00:00"/>
        <d v="2025-05-20T00:00:00"/>
        <d v="2025-12-14T00:00:00"/>
        <d v="2025-11-15T00:00:00"/>
        <d v="2025-03-11T00:00:00"/>
        <d v="2025-08-04T00:00:00"/>
        <d v="2025-01-27T00:00:00"/>
        <d v="2025-05-07T00:00:00"/>
        <d v="2025-12-09T00:00:00"/>
        <d v="2025-07-08T00:00:00"/>
        <d v="2025-06-04T00:00:00"/>
        <d v="2025-12-05T00:00:00"/>
        <d v="2025-09-08T00:00:00"/>
        <d v="2025-10-31T00:00:00"/>
        <d v="2025-08-19T00:00:00"/>
        <d v="2025-06-16T00:00:00"/>
        <d v="2025-06-24T00:00:00"/>
        <d v="2025-04-08T00:00:00"/>
        <d v="2025-05-04T00:00:00"/>
        <d v="2025-02-17T00:00:00"/>
        <d v="2025-10-25T00:00:00"/>
        <d v="2025-04-29T00:00:00"/>
        <d v="2025-10-29T00:00:00"/>
        <d v="2025-04-02T00:00:00"/>
        <d v="2025-01-07T00:00:00"/>
        <d v="2025-05-08T00:00:00"/>
        <d v="2025-11-14T00:00:00"/>
        <d v="2025-04-26T00:00:00"/>
        <d v="2025-06-07T00:00:00"/>
        <d v="2025-12-25T00:00:00"/>
        <d v="2025-04-28T00:00:00"/>
        <d v="2025-07-29T00:00:00"/>
        <d v="2025-12-22T00:00:00"/>
        <d v="2025-06-11T00:00:00"/>
        <d v="2025-01-01T00:00:00"/>
        <d v="2025-11-19T00:00:00"/>
        <d v="2025-10-10T00:00:00"/>
        <d v="2025-03-02T00:00:00"/>
        <d v="2025-09-05T00:00:00"/>
        <d v="2025-11-03T00:00:00"/>
        <d v="2025-10-24T00:00:00"/>
        <d v="2025-05-03T00:00:00"/>
        <d v="2025-08-31T00:00:00"/>
        <d v="2025-03-06T00:00:00"/>
        <d v="2025-08-22T00:00:00"/>
        <d v="2025-03-21T00:00:00"/>
        <d v="2025-07-23T00:00:00"/>
        <d v="2025-09-07T00:00:00"/>
        <d v="2025-05-28T00:00:00"/>
        <d v="2025-11-21T00:00:00"/>
        <d v="2025-01-24T00:00:00"/>
        <d v="2025-03-16T00:00:00"/>
        <d v="2025-03-15T00:00:00"/>
        <d v="2025-01-05T00:00:00"/>
        <d v="2025-12-04T00:00:00"/>
        <d v="2025-09-12T00:00:00"/>
        <d v="2025-11-27T00:00:00"/>
        <d v="2025-03-09T00:00:00"/>
        <d v="2025-09-04T00:00:00"/>
        <d v="2025-02-08T00:00:00"/>
        <d v="2025-12-11T00:00:00"/>
        <d v="2025-11-22T00:00:00"/>
        <d v="2025-10-03T00:00:00"/>
        <d v="2025-08-16T00:00:00"/>
        <d v="2025-03-04T00:00:00"/>
        <d v="2025-06-20T00:00:00"/>
        <d v="2025-10-11T00:00:00"/>
        <d v="2025-03-17T00:00:00"/>
        <d v="2025-05-21T00:00:00"/>
        <d v="2025-02-18T00:00:00"/>
        <d v="2025-03-20T00:00:00"/>
        <d v="2025-11-04T00:00:00"/>
        <d v="2025-09-29T00:00:00"/>
        <d v="2025-09-20T00:00:00"/>
        <d v="2025-08-24T00:00:00"/>
        <d v="2025-08-02T00:00:00"/>
        <d v="2025-03-29T00:00:00"/>
        <d v="2025-06-08T00:00:00"/>
        <d v="2025-03-30T00:00:00"/>
        <d v="2025-11-18T00:00:00"/>
        <d v="2025-11-20T00:00:00"/>
        <d v="2025-09-14T00:00:00"/>
        <d v="2025-06-25T00:00:00"/>
        <d v="2025-08-13T00:00:00"/>
        <d v="2025-05-25T00:00:00"/>
        <d v="2025-11-28T00:00:00"/>
        <d v="2025-07-17T00:00:00"/>
      </sharedItems>
    </cacheField>
    <cacheField name="Region" numFmtId="0">
      <sharedItems count="4">
        <s v="East"/>
        <s v="Central"/>
        <s v="South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4">
      <sharedItems containsSemiMixedTypes="0" containsString="0" containsNumber="1" minValue="6.21" maxValue="947.58"/>
    </cacheField>
    <cacheField name="Revenue" numFmtId="4">
      <sharedItems containsSemiMixedTypes="0" containsString="0" containsNumber="1" minValue="6.92" maxValue="7146.64"/>
    </cacheField>
  </cacheFields>
  <extLst>
    <ext xmlns:x14="http://schemas.microsoft.com/office/spreadsheetml/2009/9/main" uri="{725AE2AE-9491-48be-B2B4-4EB974FC3084}">
      <x14:pivotCacheDefinition pivotCacheId="44755627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598086805556" createdVersion="8" refreshedVersion="8" minRefreshableVersion="3" recordCount="12" xr:uid="{C7B48775-C7C1-4613-912A-7FFBB4D65C80}">
  <cacheSource type="worksheet">
    <worksheetSource ref="K1:L13" sheet="Superstore Sales"/>
  </cacheSource>
  <cacheFields count="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venue" numFmtId="0">
      <sharedItems containsSemiMixedTypes="0" containsString="0" containsNumber="1" minValue="5438.9699999999993" maxValue="26678.18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ORD-0001"/>
    <x v="0"/>
    <x v="0"/>
    <x v="0"/>
    <s v="Laptop"/>
    <n v="1"/>
    <n v="899.28"/>
    <n v="899.28"/>
  </r>
  <r>
    <s v="ORD-0002"/>
    <x v="1"/>
    <x v="1"/>
    <x v="1"/>
    <s v="Office Chair"/>
    <n v="2"/>
    <n v="189.02"/>
    <n v="378.04"/>
  </r>
  <r>
    <s v="ORD-0003"/>
    <x v="2"/>
    <x v="0"/>
    <x v="1"/>
    <s v="Desk"/>
    <n v="4"/>
    <n v="320.41000000000003"/>
    <n v="1281.6400000000001"/>
  </r>
  <r>
    <s v="ORD-0004"/>
    <x v="3"/>
    <x v="1"/>
    <x v="0"/>
    <s v="Printer"/>
    <n v="4"/>
    <n v="187.68"/>
    <n v="750.72"/>
  </r>
  <r>
    <s v="ORD-0005"/>
    <x v="4"/>
    <x v="2"/>
    <x v="1"/>
    <s v="Storage Cabinet"/>
    <n v="6"/>
    <n v="260.33999999999997"/>
    <n v="1562.04"/>
  </r>
  <r>
    <s v="ORD-0006"/>
    <x v="5"/>
    <x v="2"/>
    <x v="1"/>
    <s v="Office Chair"/>
    <n v="7"/>
    <n v="167.09"/>
    <n v="1169.6300000000001"/>
  </r>
  <r>
    <s v="ORD-0007"/>
    <x v="6"/>
    <x v="1"/>
    <x v="1"/>
    <s v="Storage Cabinet"/>
    <n v="2"/>
    <n v="306.23"/>
    <n v="612.46"/>
  </r>
  <r>
    <s v="ORD-0008"/>
    <x v="7"/>
    <x v="1"/>
    <x v="0"/>
    <s v="Keyboard"/>
    <n v="6"/>
    <n v="45.84"/>
    <n v="275.04000000000002"/>
  </r>
  <r>
    <s v="ORD-0009"/>
    <x v="8"/>
    <x v="1"/>
    <x v="1"/>
    <s v="Desk"/>
    <n v="5"/>
    <n v="357.27"/>
    <n v="1786.35"/>
  </r>
  <r>
    <s v="ORD-0010"/>
    <x v="9"/>
    <x v="0"/>
    <x v="2"/>
    <s v="Pens Set"/>
    <n v="8"/>
    <n v="9.2899999999999991"/>
    <n v="74.319999999999993"/>
  </r>
  <r>
    <s v="ORD-0011"/>
    <x v="10"/>
    <x v="1"/>
    <x v="2"/>
    <s v="Pens Set"/>
    <n v="4"/>
    <n v="9.3699999999999992"/>
    <n v="37.479999999999997"/>
  </r>
  <r>
    <s v="ORD-0012"/>
    <x v="11"/>
    <x v="2"/>
    <x v="0"/>
    <s v="Monitor"/>
    <n v="4"/>
    <n v="239"/>
    <n v="956"/>
  </r>
  <r>
    <s v="ORD-0013"/>
    <x v="12"/>
    <x v="0"/>
    <x v="0"/>
    <s v="Monitor"/>
    <n v="6"/>
    <n v="281.39"/>
    <n v="1688.34"/>
  </r>
  <r>
    <s v="ORD-0014"/>
    <x v="13"/>
    <x v="2"/>
    <x v="1"/>
    <s v="Bookshelf"/>
    <n v="7"/>
    <n v="226.62"/>
    <n v="1586.3400000000001"/>
  </r>
  <r>
    <s v="ORD-0015"/>
    <x v="14"/>
    <x v="3"/>
    <x v="1"/>
    <s v="Storage Cabinet"/>
    <n v="7"/>
    <n v="300.39"/>
    <n v="2102.73"/>
  </r>
  <r>
    <s v="ORD-0016"/>
    <x v="15"/>
    <x v="2"/>
    <x v="1"/>
    <s v="Bookshelf"/>
    <n v="3"/>
    <n v="225.41"/>
    <n v="676.23"/>
  </r>
  <r>
    <s v="ORD-0017"/>
    <x v="16"/>
    <x v="3"/>
    <x v="0"/>
    <s v="Printer"/>
    <n v="7"/>
    <n v="183.71"/>
    <n v="1285.97"/>
  </r>
  <r>
    <s v="ORD-0018"/>
    <x v="17"/>
    <x v="3"/>
    <x v="1"/>
    <s v="Office Chair"/>
    <n v="2"/>
    <n v="169.59"/>
    <n v="339.18"/>
  </r>
  <r>
    <s v="ORD-0019"/>
    <x v="18"/>
    <x v="2"/>
    <x v="0"/>
    <s v="Laptop"/>
    <n v="7"/>
    <n v="825.85"/>
    <n v="5780.95"/>
  </r>
  <r>
    <s v="ORD-0020"/>
    <x v="19"/>
    <x v="2"/>
    <x v="0"/>
    <s v="Laptop"/>
    <n v="2"/>
    <n v="887.07"/>
    <n v="1774.14"/>
  </r>
  <r>
    <s v="ORD-0021"/>
    <x v="20"/>
    <x v="3"/>
    <x v="0"/>
    <s v="Keyboard"/>
    <n v="2"/>
    <n v="42.77"/>
    <n v="85.54"/>
  </r>
  <r>
    <s v="ORD-0022"/>
    <x v="21"/>
    <x v="2"/>
    <x v="1"/>
    <s v="Bookshelf"/>
    <n v="3"/>
    <n v="240.44"/>
    <n v="721.31999999999994"/>
  </r>
  <r>
    <s v="ORD-0023"/>
    <x v="22"/>
    <x v="1"/>
    <x v="0"/>
    <s v="Monitor"/>
    <n v="3"/>
    <n v="252.13"/>
    <n v="756.39"/>
  </r>
  <r>
    <s v="ORD-0024"/>
    <x v="23"/>
    <x v="2"/>
    <x v="0"/>
    <s v="Keyboard"/>
    <n v="8"/>
    <n v="39.81"/>
    <n v="318.48"/>
  </r>
  <r>
    <s v="ORD-0025"/>
    <x v="24"/>
    <x v="1"/>
    <x v="1"/>
    <s v="Office Chair"/>
    <n v="4"/>
    <n v="201.78"/>
    <n v="807.12"/>
  </r>
  <r>
    <s v="ORD-0026"/>
    <x v="25"/>
    <x v="0"/>
    <x v="0"/>
    <s v="Printer"/>
    <n v="2"/>
    <n v="211.8"/>
    <n v="423.6"/>
  </r>
  <r>
    <s v="ORD-0027"/>
    <x v="26"/>
    <x v="3"/>
    <x v="1"/>
    <s v="Storage Cabinet"/>
    <n v="3"/>
    <n v="259.49"/>
    <n v="778.47"/>
  </r>
  <r>
    <s v="ORD-0028"/>
    <x v="27"/>
    <x v="2"/>
    <x v="1"/>
    <s v="Desk"/>
    <n v="5"/>
    <n v="312.24"/>
    <n v="1561.2"/>
  </r>
  <r>
    <s v="ORD-0029"/>
    <x v="28"/>
    <x v="2"/>
    <x v="2"/>
    <s v="Labels"/>
    <n v="2"/>
    <n v="6.58"/>
    <n v="13.16"/>
  </r>
  <r>
    <s v="ORD-0030"/>
    <x v="29"/>
    <x v="1"/>
    <x v="1"/>
    <s v="Desk"/>
    <n v="4"/>
    <n v="282.14999999999998"/>
    <n v="1128.5999999999999"/>
  </r>
  <r>
    <s v="ORD-0031"/>
    <x v="30"/>
    <x v="0"/>
    <x v="1"/>
    <s v="Office Chair"/>
    <n v="1"/>
    <n v="200.97"/>
    <n v="200.97"/>
  </r>
  <r>
    <s v="ORD-0032"/>
    <x v="31"/>
    <x v="3"/>
    <x v="2"/>
    <s v="Labels"/>
    <n v="4"/>
    <n v="7.07"/>
    <n v="28.28"/>
  </r>
  <r>
    <s v="ORD-0033"/>
    <x v="32"/>
    <x v="3"/>
    <x v="1"/>
    <s v="Storage Cabinet"/>
    <n v="7"/>
    <n v="254.57"/>
    <n v="1781.99"/>
  </r>
  <r>
    <s v="ORD-0034"/>
    <x v="33"/>
    <x v="1"/>
    <x v="2"/>
    <s v="Labels"/>
    <n v="7"/>
    <n v="6.94"/>
    <n v="48.580000000000005"/>
  </r>
  <r>
    <s v="ORD-0035"/>
    <x v="34"/>
    <x v="0"/>
    <x v="1"/>
    <s v="Storage Cabinet"/>
    <n v="6"/>
    <n v="294.83999999999997"/>
    <n v="1769.04"/>
  </r>
  <r>
    <s v="ORD-0036"/>
    <x v="35"/>
    <x v="2"/>
    <x v="1"/>
    <s v="Desk"/>
    <n v="8"/>
    <n v="292.37"/>
    <n v="2338.96"/>
  </r>
  <r>
    <s v="ORD-0037"/>
    <x v="36"/>
    <x v="1"/>
    <x v="2"/>
    <s v="Binders"/>
    <n v="2"/>
    <n v="11.84"/>
    <n v="23.68"/>
  </r>
  <r>
    <s v="ORD-0038"/>
    <x v="37"/>
    <x v="0"/>
    <x v="1"/>
    <s v="Office Chair"/>
    <n v="2"/>
    <n v="203.93"/>
    <n v="407.86"/>
  </r>
  <r>
    <s v="ORD-0039"/>
    <x v="38"/>
    <x v="1"/>
    <x v="2"/>
    <s v="Labels"/>
    <n v="8"/>
    <n v="6.52"/>
    <n v="52.16"/>
  </r>
  <r>
    <s v="ORD-0040"/>
    <x v="39"/>
    <x v="3"/>
    <x v="1"/>
    <s v="Storage Cabinet"/>
    <n v="1"/>
    <n v="307.02999999999997"/>
    <n v="307.02999999999997"/>
  </r>
  <r>
    <s v="ORD-0041"/>
    <x v="40"/>
    <x v="0"/>
    <x v="2"/>
    <s v="Labels"/>
    <n v="8"/>
    <n v="6.42"/>
    <n v="51.36"/>
  </r>
  <r>
    <s v="ORD-0042"/>
    <x v="41"/>
    <x v="3"/>
    <x v="1"/>
    <s v="Office Chair"/>
    <n v="6"/>
    <n v="165.34"/>
    <n v="992.04"/>
  </r>
  <r>
    <s v="ORD-0043"/>
    <x v="42"/>
    <x v="0"/>
    <x v="0"/>
    <s v="Monitor"/>
    <n v="1"/>
    <n v="288.75"/>
    <n v="288.75"/>
  </r>
  <r>
    <s v="ORD-0044"/>
    <x v="43"/>
    <x v="0"/>
    <x v="1"/>
    <s v="Office Chair"/>
    <n v="4"/>
    <n v="180.73"/>
    <n v="722.92"/>
  </r>
  <r>
    <s v="ORD-0045"/>
    <x v="44"/>
    <x v="2"/>
    <x v="0"/>
    <s v="Laptop"/>
    <n v="2"/>
    <n v="833.52"/>
    <n v="1667.04"/>
  </r>
  <r>
    <s v="ORD-0046"/>
    <x v="45"/>
    <x v="0"/>
    <x v="2"/>
    <s v="Binders"/>
    <n v="6"/>
    <n v="11.25"/>
    <n v="67.5"/>
  </r>
  <r>
    <s v="ORD-0047"/>
    <x v="46"/>
    <x v="1"/>
    <x v="0"/>
    <s v="Keyboard"/>
    <n v="8"/>
    <n v="43.01"/>
    <n v="344.08"/>
  </r>
  <r>
    <s v="ORD-0048"/>
    <x v="47"/>
    <x v="2"/>
    <x v="2"/>
    <s v="Paper Pack"/>
    <n v="2"/>
    <n v="18.16"/>
    <n v="36.32"/>
  </r>
  <r>
    <s v="ORD-0049"/>
    <x v="48"/>
    <x v="2"/>
    <x v="1"/>
    <s v="Bookshelf"/>
    <n v="2"/>
    <n v="261.85000000000002"/>
    <n v="523.70000000000005"/>
  </r>
  <r>
    <s v="ORD-0050"/>
    <x v="49"/>
    <x v="1"/>
    <x v="1"/>
    <s v="Storage Cabinet"/>
    <n v="5"/>
    <n v="282.37"/>
    <n v="1411.85"/>
  </r>
  <r>
    <s v="ORD-0051"/>
    <x v="50"/>
    <x v="2"/>
    <x v="0"/>
    <s v="Keyboard"/>
    <n v="2"/>
    <n v="49.74"/>
    <n v="99.48"/>
  </r>
  <r>
    <s v="ORD-0052"/>
    <x v="51"/>
    <x v="0"/>
    <x v="1"/>
    <s v="Office Chair"/>
    <n v="3"/>
    <n v="174.89"/>
    <n v="524.66999999999996"/>
  </r>
  <r>
    <s v="ORD-0053"/>
    <x v="39"/>
    <x v="3"/>
    <x v="0"/>
    <s v="Keyboard"/>
    <n v="4"/>
    <n v="47.02"/>
    <n v="188.08"/>
  </r>
  <r>
    <s v="ORD-0054"/>
    <x v="52"/>
    <x v="1"/>
    <x v="2"/>
    <s v="Paper Pack"/>
    <n v="2"/>
    <n v="18.579999999999998"/>
    <n v="37.159999999999997"/>
  </r>
  <r>
    <s v="ORD-0055"/>
    <x v="53"/>
    <x v="0"/>
    <x v="1"/>
    <s v="Bookshelf"/>
    <n v="3"/>
    <n v="247.9"/>
    <n v="743.7"/>
  </r>
  <r>
    <s v="ORD-0056"/>
    <x v="54"/>
    <x v="1"/>
    <x v="0"/>
    <s v="Printer"/>
    <n v="7"/>
    <n v="192.78"/>
    <n v="1349.46"/>
  </r>
  <r>
    <s v="ORD-0057"/>
    <x v="44"/>
    <x v="0"/>
    <x v="0"/>
    <s v="Monitor"/>
    <n v="1"/>
    <n v="280.88"/>
    <n v="280.88"/>
  </r>
  <r>
    <s v="ORD-0058"/>
    <x v="55"/>
    <x v="2"/>
    <x v="2"/>
    <s v="Binders"/>
    <n v="1"/>
    <n v="11.45"/>
    <n v="11.45"/>
  </r>
  <r>
    <s v="ORD-0059"/>
    <x v="56"/>
    <x v="3"/>
    <x v="1"/>
    <s v="Desk"/>
    <n v="2"/>
    <n v="308.76"/>
    <n v="617.52"/>
  </r>
  <r>
    <s v="ORD-0060"/>
    <x v="57"/>
    <x v="3"/>
    <x v="0"/>
    <s v="Monitor"/>
    <n v="4"/>
    <n v="282.75"/>
    <n v="1131"/>
  </r>
  <r>
    <s v="ORD-0061"/>
    <x v="58"/>
    <x v="0"/>
    <x v="1"/>
    <s v="Desk"/>
    <n v="6"/>
    <n v="341.69"/>
    <n v="2050.14"/>
  </r>
  <r>
    <s v="ORD-0062"/>
    <x v="59"/>
    <x v="3"/>
    <x v="2"/>
    <s v="Binders"/>
    <n v="2"/>
    <n v="11.66"/>
    <n v="23.32"/>
  </r>
  <r>
    <s v="ORD-0063"/>
    <x v="60"/>
    <x v="0"/>
    <x v="1"/>
    <s v="Desk"/>
    <n v="8"/>
    <n v="308.45"/>
    <n v="2467.6"/>
  </r>
  <r>
    <s v="ORD-0064"/>
    <x v="61"/>
    <x v="2"/>
    <x v="1"/>
    <s v="Desk"/>
    <n v="7"/>
    <n v="306.81"/>
    <n v="2147.67"/>
  </r>
  <r>
    <s v="ORD-0065"/>
    <x v="62"/>
    <x v="2"/>
    <x v="2"/>
    <s v="Labels"/>
    <n v="6"/>
    <n v="7.74"/>
    <n v="46.44"/>
  </r>
  <r>
    <s v="ORD-0066"/>
    <x v="63"/>
    <x v="2"/>
    <x v="1"/>
    <s v="Bookshelf"/>
    <n v="1"/>
    <n v="217.44"/>
    <n v="217.44"/>
  </r>
  <r>
    <s v="ORD-0067"/>
    <x v="64"/>
    <x v="1"/>
    <x v="0"/>
    <s v="Keyboard"/>
    <n v="7"/>
    <n v="46.15"/>
    <n v="323.05"/>
  </r>
  <r>
    <s v="ORD-0068"/>
    <x v="65"/>
    <x v="1"/>
    <x v="2"/>
    <s v="Binders"/>
    <n v="5"/>
    <n v="10.69"/>
    <n v="53.449999999999996"/>
  </r>
  <r>
    <s v="ORD-0069"/>
    <x v="66"/>
    <x v="2"/>
    <x v="0"/>
    <s v="Monitor"/>
    <n v="6"/>
    <n v="255.71"/>
    <n v="1534.26"/>
  </r>
  <r>
    <s v="ORD-0070"/>
    <x v="67"/>
    <x v="2"/>
    <x v="0"/>
    <s v="Keyboard"/>
    <n v="2"/>
    <n v="47.37"/>
    <n v="94.74"/>
  </r>
  <r>
    <s v="ORD-0071"/>
    <x v="40"/>
    <x v="0"/>
    <x v="0"/>
    <s v="Printer"/>
    <n v="6"/>
    <n v="185.55"/>
    <n v="1113.3000000000002"/>
  </r>
  <r>
    <s v="ORD-0072"/>
    <x v="68"/>
    <x v="2"/>
    <x v="1"/>
    <s v="Storage Cabinet"/>
    <n v="7"/>
    <n v="286.7"/>
    <n v="2006.8999999999999"/>
  </r>
  <r>
    <s v="ORD-0073"/>
    <x v="69"/>
    <x v="2"/>
    <x v="2"/>
    <s v="Paper Pack"/>
    <n v="5"/>
    <n v="17.079999999999998"/>
    <n v="85.399999999999991"/>
  </r>
  <r>
    <s v="ORD-0074"/>
    <x v="64"/>
    <x v="3"/>
    <x v="2"/>
    <s v="Labels"/>
    <n v="8"/>
    <n v="7.3"/>
    <n v="58.4"/>
  </r>
  <r>
    <s v="ORD-0075"/>
    <x v="70"/>
    <x v="2"/>
    <x v="0"/>
    <s v="Monitor"/>
    <n v="2"/>
    <n v="246.51"/>
    <n v="493.02"/>
  </r>
  <r>
    <s v="ORD-0076"/>
    <x v="71"/>
    <x v="0"/>
    <x v="1"/>
    <s v="Desk"/>
    <n v="5"/>
    <n v="298.85000000000002"/>
    <n v="1494.25"/>
  </r>
  <r>
    <s v="ORD-0077"/>
    <x v="72"/>
    <x v="1"/>
    <x v="1"/>
    <s v="Office Chair"/>
    <n v="4"/>
    <n v="206.49"/>
    <n v="825.96"/>
  </r>
  <r>
    <s v="ORD-0078"/>
    <x v="73"/>
    <x v="3"/>
    <x v="2"/>
    <s v="Labels"/>
    <n v="4"/>
    <n v="7.37"/>
    <n v="29.48"/>
  </r>
  <r>
    <s v="ORD-0079"/>
    <x v="74"/>
    <x v="1"/>
    <x v="2"/>
    <s v="Binders"/>
    <n v="3"/>
    <n v="12.45"/>
    <n v="37.349999999999994"/>
  </r>
  <r>
    <s v="ORD-0080"/>
    <x v="75"/>
    <x v="3"/>
    <x v="2"/>
    <s v="Binders"/>
    <n v="3"/>
    <n v="12.88"/>
    <n v="38.64"/>
  </r>
  <r>
    <s v="ORD-0081"/>
    <x v="76"/>
    <x v="2"/>
    <x v="1"/>
    <s v="Desk"/>
    <n v="2"/>
    <n v="316.66000000000003"/>
    <n v="633.32000000000005"/>
  </r>
  <r>
    <s v="ORD-0082"/>
    <x v="77"/>
    <x v="3"/>
    <x v="2"/>
    <s v="Labels"/>
    <n v="8"/>
    <n v="7.67"/>
    <n v="61.36"/>
  </r>
  <r>
    <s v="ORD-0083"/>
    <x v="78"/>
    <x v="3"/>
    <x v="2"/>
    <s v="Binders"/>
    <n v="5"/>
    <n v="12.77"/>
    <n v="63.849999999999994"/>
  </r>
  <r>
    <s v="ORD-0084"/>
    <x v="79"/>
    <x v="0"/>
    <x v="0"/>
    <s v="Monitor"/>
    <n v="5"/>
    <n v="256.25"/>
    <n v="1281.25"/>
  </r>
  <r>
    <s v="ORD-0085"/>
    <x v="42"/>
    <x v="0"/>
    <x v="2"/>
    <s v="Pens Set"/>
    <n v="6"/>
    <n v="9.85"/>
    <n v="59.099999999999994"/>
  </r>
  <r>
    <s v="ORD-0086"/>
    <x v="80"/>
    <x v="0"/>
    <x v="1"/>
    <s v="Desk"/>
    <n v="7"/>
    <n v="334.9"/>
    <n v="2344.2999999999997"/>
  </r>
  <r>
    <s v="ORD-0087"/>
    <x v="81"/>
    <x v="3"/>
    <x v="1"/>
    <s v="Storage Cabinet"/>
    <n v="7"/>
    <n v="263.83999999999997"/>
    <n v="1846.8799999999999"/>
  </r>
  <r>
    <s v="ORD-0088"/>
    <x v="41"/>
    <x v="1"/>
    <x v="1"/>
    <s v="Desk"/>
    <n v="7"/>
    <n v="311.51"/>
    <n v="2180.5699999999997"/>
  </r>
  <r>
    <s v="ORD-0089"/>
    <x v="82"/>
    <x v="2"/>
    <x v="0"/>
    <s v="Printer"/>
    <n v="8"/>
    <n v="167.47"/>
    <n v="1339.76"/>
  </r>
  <r>
    <s v="ORD-0090"/>
    <x v="83"/>
    <x v="3"/>
    <x v="2"/>
    <s v="Labels"/>
    <n v="4"/>
    <n v="6.98"/>
    <n v="27.92"/>
  </r>
  <r>
    <s v="ORD-0091"/>
    <x v="84"/>
    <x v="3"/>
    <x v="2"/>
    <s v="Paper Pack"/>
    <n v="7"/>
    <n v="17.29"/>
    <n v="121.03"/>
  </r>
  <r>
    <s v="ORD-0092"/>
    <x v="85"/>
    <x v="1"/>
    <x v="0"/>
    <s v="Monitor"/>
    <n v="8"/>
    <n v="286.18"/>
    <n v="2289.44"/>
  </r>
  <r>
    <s v="ORD-0093"/>
    <x v="86"/>
    <x v="3"/>
    <x v="2"/>
    <s v="Paper Pack"/>
    <n v="2"/>
    <n v="18.62"/>
    <n v="37.24"/>
  </r>
  <r>
    <s v="ORD-0094"/>
    <x v="13"/>
    <x v="3"/>
    <x v="1"/>
    <s v="Office Chair"/>
    <n v="5"/>
    <n v="179.63"/>
    <n v="898.15"/>
  </r>
  <r>
    <s v="ORD-0095"/>
    <x v="87"/>
    <x v="2"/>
    <x v="2"/>
    <s v="Pens Set"/>
    <n v="7"/>
    <n v="8.52"/>
    <n v="59.64"/>
  </r>
  <r>
    <s v="ORD-0096"/>
    <x v="88"/>
    <x v="2"/>
    <x v="1"/>
    <s v="Storage Cabinet"/>
    <n v="1"/>
    <n v="291.44"/>
    <n v="291.44"/>
  </r>
  <r>
    <s v="ORD-0097"/>
    <x v="89"/>
    <x v="0"/>
    <x v="1"/>
    <s v="Office Chair"/>
    <n v="1"/>
    <n v="196.29"/>
    <n v="196.29"/>
  </r>
  <r>
    <s v="ORD-0098"/>
    <x v="90"/>
    <x v="1"/>
    <x v="1"/>
    <s v="Desk"/>
    <n v="4"/>
    <n v="291.29000000000002"/>
    <n v="1165.1600000000001"/>
  </r>
  <r>
    <s v="ORD-0099"/>
    <x v="91"/>
    <x v="0"/>
    <x v="0"/>
    <s v="Monitor"/>
    <n v="8"/>
    <n v="272.45"/>
    <n v="2179.6"/>
  </r>
  <r>
    <s v="ORD-0100"/>
    <x v="34"/>
    <x v="1"/>
    <x v="0"/>
    <s v="Laptop"/>
    <n v="3"/>
    <n v="944.8"/>
    <n v="2834.3999999999996"/>
  </r>
  <r>
    <s v="ORD-0101"/>
    <x v="71"/>
    <x v="1"/>
    <x v="2"/>
    <s v="Labels"/>
    <n v="7"/>
    <n v="7.74"/>
    <n v="54.18"/>
  </r>
  <r>
    <s v="ORD-0102"/>
    <x v="92"/>
    <x v="1"/>
    <x v="0"/>
    <s v="Monitor"/>
    <n v="2"/>
    <n v="272.3"/>
    <n v="544.6"/>
  </r>
  <r>
    <s v="ORD-0103"/>
    <x v="93"/>
    <x v="2"/>
    <x v="0"/>
    <s v="Laptop"/>
    <n v="6"/>
    <n v="856.68"/>
    <n v="5140.08"/>
  </r>
  <r>
    <s v="ORD-0104"/>
    <x v="94"/>
    <x v="1"/>
    <x v="1"/>
    <s v="Bookshelf"/>
    <n v="1"/>
    <n v="260.14"/>
    <n v="260.14"/>
  </r>
  <r>
    <s v="ORD-0105"/>
    <x v="63"/>
    <x v="0"/>
    <x v="2"/>
    <s v="Pens Set"/>
    <n v="8"/>
    <n v="9.4499999999999993"/>
    <n v="75.599999999999994"/>
  </r>
  <r>
    <s v="ORD-0106"/>
    <x v="95"/>
    <x v="2"/>
    <x v="0"/>
    <s v="Keyboard"/>
    <n v="8"/>
    <n v="44.62"/>
    <n v="356.96"/>
  </r>
  <r>
    <s v="ORD-0107"/>
    <x v="96"/>
    <x v="0"/>
    <x v="2"/>
    <s v="Binders"/>
    <n v="2"/>
    <n v="11.36"/>
    <n v="22.72"/>
  </r>
  <r>
    <s v="ORD-0108"/>
    <x v="97"/>
    <x v="0"/>
    <x v="2"/>
    <s v="Labels"/>
    <n v="6"/>
    <n v="6.21"/>
    <n v="37.26"/>
  </r>
  <r>
    <s v="ORD-0109"/>
    <x v="98"/>
    <x v="2"/>
    <x v="2"/>
    <s v="Binders"/>
    <n v="6"/>
    <n v="12.86"/>
    <n v="77.16"/>
  </r>
  <r>
    <s v="ORD-0110"/>
    <x v="99"/>
    <x v="1"/>
    <x v="0"/>
    <s v="Keyboard"/>
    <n v="1"/>
    <n v="45.18"/>
    <n v="45.18"/>
  </r>
  <r>
    <s v="ORD-0111"/>
    <x v="100"/>
    <x v="3"/>
    <x v="1"/>
    <s v="Storage Cabinet"/>
    <n v="8"/>
    <n v="278.64"/>
    <n v="2229.12"/>
  </r>
  <r>
    <s v="ORD-0112"/>
    <x v="101"/>
    <x v="2"/>
    <x v="0"/>
    <s v="Printer"/>
    <n v="8"/>
    <n v="203.36"/>
    <n v="1626.88"/>
  </r>
  <r>
    <s v="ORD-0113"/>
    <x v="102"/>
    <x v="2"/>
    <x v="1"/>
    <s v="Storage Cabinet"/>
    <n v="4"/>
    <n v="262.20999999999998"/>
    <n v="1048.8399999999999"/>
  </r>
  <r>
    <s v="ORD-0114"/>
    <x v="36"/>
    <x v="2"/>
    <x v="2"/>
    <s v="Pens Set"/>
    <n v="7"/>
    <n v="10.07"/>
    <n v="70.490000000000009"/>
  </r>
  <r>
    <s v="ORD-0115"/>
    <x v="103"/>
    <x v="1"/>
    <x v="2"/>
    <s v="Labels"/>
    <n v="5"/>
    <n v="6.68"/>
    <n v="33.4"/>
  </r>
  <r>
    <s v="ORD-0116"/>
    <x v="19"/>
    <x v="0"/>
    <x v="0"/>
    <s v="Monitor"/>
    <n v="6"/>
    <n v="236.26"/>
    <n v="1417.56"/>
  </r>
  <r>
    <s v="ORD-0117"/>
    <x v="104"/>
    <x v="2"/>
    <x v="1"/>
    <s v="Desk"/>
    <n v="8"/>
    <n v="302.83999999999997"/>
    <n v="2422.7199999999998"/>
  </r>
  <r>
    <s v="ORD-0118"/>
    <x v="105"/>
    <x v="2"/>
    <x v="1"/>
    <s v="Desk"/>
    <n v="5"/>
    <n v="299.07"/>
    <n v="1495.35"/>
  </r>
  <r>
    <s v="ORD-0119"/>
    <x v="33"/>
    <x v="2"/>
    <x v="1"/>
    <s v="Desk"/>
    <n v="5"/>
    <n v="285.10000000000002"/>
    <n v="1425.5"/>
  </r>
  <r>
    <s v="ORD-0120"/>
    <x v="106"/>
    <x v="2"/>
    <x v="0"/>
    <s v="Monitor"/>
    <n v="8"/>
    <n v="235.2"/>
    <n v="1881.6"/>
  </r>
  <r>
    <s v="ORD-0121"/>
    <x v="88"/>
    <x v="2"/>
    <x v="2"/>
    <s v="Labels"/>
    <n v="8"/>
    <n v="6.73"/>
    <n v="53.84"/>
  </r>
  <r>
    <s v="ORD-0122"/>
    <x v="46"/>
    <x v="1"/>
    <x v="2"/>
    <s v="Paper Pack"/>
    <n v="2"/>
    <n v="17.57"/>
    <n v="35.14"/>
  </r>
  <r>
    <s v="ORD-0123"/>
    <x v="107"/>
    <x v="1"/>
    <x v="1"/>
    <s v="Desk"/>
    <n v="5"/>
    <n v="288.14"/>
    <n v="1440.6999999999998"/>
  </r>
  <r>
    <s v="ORD-0124"/>
    <x v="11"/>
    <x v="3"/>
    <x v="0"/>
    <s v="Printer"/>
    <n v="4"/>
    <n v="202.57"/>
    <n v="810.28"/>
  </r>
  <r>
    <s v="ORD-0125"/>
    <x v="108"/>
    <x v="1"/>
    <x v="2"/>
    <s v="Pens Set"/>
    <n v="7"/>
    <n v="8.58"/>
    <n v="60.06"/>
  </r>
  <r>
    <s v="ORD-0126"/>
    <x v="39"/>
    <x v="1"/>
    <x v="0"/>
    <s v="Laptop"/>
    <n v="4"/>
    <n v="875.61"/>
    <n v="3502.44"/>
  </r>
  <r>
    <s v="ORD-0127"/>
    <x v="20"/>
    <x v="1"/>
    <x v="1"/>
    <s v="Desk"/>
    <n v="3"/>
    <n v="323.99"/>
    <n v="971.97"/>
  </r>
  <r>
    <s v="ORD-0128"/>
    <x v="103"/>
    <x v="2"/>
    <x v="2"/>
    <s v="Labels"/>
    <n v="8"/>
    <n v="6.65"/>
    <n v="53.2"/>
  </r>
  <r>
    <s v="ORD-0129"/>
    <x v="8"/>
    <x v="2"/>
    <x v="0"/>
    <s v="Keyboard"/>
    <n v="8"/>
    <n v="40.369999999999997"/>
    <n v="322.95999999999998"/>
  </r>
  <r>
    <s v="ORD-0130"/>
    <x v="109"/>
    <x v="0"/>
    <x v="0"/>
    <s v="Monitor"/>
    <n v="7"/>
    <n v="235.96"/>
    <n v="1651.72"/>
  </r>
  <r>
    <s v="ORD-0131"/>
    <x v="110"/>
    <x v="2"/>
    <x v="2"/>
    <s v="Binders"/>
    <n v="2"/>
    <n v="10.73"/>
    <n v="21.46"/>
  </r>
  <r>
    <s v="ORD-0132"/>
    <x v="111"/>
    <x v="3"/>
    <x v="2"/>
    <s v="Paper Pack"/>
    <n v="8"/>
    <n v="18.82"/>
    <n v="150.56"/>
  </r>
  <r>
    <s v="ORD-0133"/>
    <x v="55"/>
    <x v="3"/>
    <x v="2"/>
    <s v="Labels"/>
    <n v="8"/>
    <n v="6.3"/>
    <n v="50.4"/>
  </r>
  <r>
    <s v="ORD-0134"/>
    <x v="112"/>
    <x v="1"/>
    <x v="0"/>
    <s v="Keyboard"/>
    <n v="5"/>
    <n v="39.880000000000003"/>
    <n v="199.4"/>
  </r>
  <r>
    <s v="ORD-0135"/>
    <x v="68"/>
    <x v="3"/>
    <x v="0"/>
    <s v="Keyboard"/>
    <n v="1"/>
    <n v="47.84"/>
    <n v="47.84"/>
  </r>
  <r>
    <s v="ORD-0136"/>
    <x v="41"/>
    <x v="3"/>
    <x v="0"/>
    <s v="Printer"/>
    <n v="5"/>
    <n v="175.48"/>
    <n v="877.4"/>
  </r>
  <r>
    <s v="ORD-0137"/>
    <x v="113"/>
    <x v="2"/>
    <x v="0"/>
    <s v="Printer"/>
    <n v="2"/>
    <n v="188.63"/>
    <n v="377.26"/>
  </r>
  <r>
    <s v="ORD-0138"/>
    <x v="114"/>
    <x v="3"/>
    <x v="2"/>
    <s v="Paper Pack"/>
    <n v="3"/>
    <n v="17.260000000000002"/>
    <n v="51.78"/>
  </r>
  <r>
    <s v="ORD-0139"/>
    <x v="115"/>
    <x v="2"/>
    <x v="2"/>
    <s v="Labels"/>
    <n v="1"/>
    <n v="6.92"/>
    <n v="6.92"/>
  </r>
  <r>
    <s v="ORD-0140"/>
    <x v="116"/>
    <x v="3"/>
    <x v="2"/>
    <s v="Paper Pack"/>
    <n v="7"/>
    <n v="19.579999999999998"/>
    <n v="137.06"/>
  </r>
  <r>
    <s v="ORD-0141"/>
    <x v="85"/>
    <x v="3"/>
    <x v="2"/>
    <s v="Paper Pack"/>
    <n v="4"/>
    <n v="18.079999999999998"/>
    <n v="72.319999999999993"/>
  </r>
  <r>
    <s v="ORD-0142"/>
    <x v="36"/>
    <x v="0"/>
    <x v="0"/>
    <s v="Printer"/>
    <n v="1"/>
    <n v="176.48"/>
    <n v="176.48"/>
  </r>
  <r>
    <s v="ORD-0143"/>
    <x v="117"/>
    <x v="0"/>
    <x v="2"/>
    <s v="Labels"/>
    <n v="8"/>
    <n v="6.36"/>
    <n v="50.88"/>
  </r>
  <r>
    <s v="ORD-0144"/>
    <x v="118"/>
    <x v="3"/>
    <x v="0"/>
    <s v="Monitor"/>
    <n v="5"/>
    <n v="263.17"/>
    <n v="1315.8500000000001"/>
  </r>
  <r>
    <s v="ORD-0145"/>
    <x v="119"/>
    <x v="0"/>
    <x v="1"/>
    <s v="Desk"/>
    <n v="2"/>
    <n v="317.04000000000002"/>
    <n v="634.08000000000004"/>
  </r>
  <r>
    <s v="ORD-0146"/>
    <x v="120"/>
    <x v="3"/>
    <x v="2"/>
    <s v="Pens Set"/>
    <n v="5"/>
    <n v="8.82"/>
    <n v="44.1"/>
  </r>
  <r>
    <s v="ORD-0147"/>
    <x v="121"/>
    <x v="0"/>
    <x v="1"/>
    <s v="Storage Cabinet"/>
    <n v="3"/>
    <n v="267.32"/>
    <n v="801.96"/>
  </r>
  <r>
    <s v="ORD-0148"/>
    <x v="47"/>
    <x v="2"/>
    <x v="1"/>
    <s v="Bookshelf"/>
    <n v="7"/>
    <n v="230.78"/>
    <n v="1615.46"/>
  </r>
  <r>
    <s v="ORD-0149"/>
    <x v="122"/>
    <x v="3"/>
    <x v="1"/>
    <s v="Bookshelf"/>
    <n v="5"/>
    <n v="259.44"/>
    <n v="1297.2"/>
  </r>
  <r>
    <s v="ORD-0150"/>
    <x v="118"/>
    <x v="3"/>
    <x v="1"/>
    <s v="Storage Cabinet"/>
    <n v="8"/>
    <n v="264.77999999999997"/>
    <n v="2118.2399999999998"/>
  </r>
  <r>
    <s v="ORD-0151"/>
    <x v="123"/>
    <x v="3"/>
    <x v="2"/>
    <s v="Pens Set"/>
    <n v="4"/>
    <n v="10.039999999999999"/>
    <n v="40.159999999999997"/>
  </r>
  <r>
    <s v="ORD-0152"/>
    <x v="124"/>
    <x v="3"/>
    <x v="1"/>
    <s v="Storage Cabinet"/>
    <n v="1"/>
    <n v="263"/>
    <n v="263"/>
  </r>
  <r>
    <s v="ORD-0153"/>
    <x v="125"/>
    <x v="2"/>
    <x v="2"/>
    <s v="Binders"/>
    <n v="8"/>
    <n v="13.34"/>
    <n v="106.72"/>
  </r>
  <r>
    <s v="ORD-0154"/>
    <x v="126"/>
    <x v="1"/>
    <x v="1"/>
    <s v="Storage Cabinet"/>
    <n v="2"/>
    <n v="276.70999999999998"/>
    <n v="553.41999999999996"/>
  </r>
  <r>
    <s v="ORD-0155"/>
    <x v="127"/>
    <x v="1"/>
    <x v="0"/>
    <s v="Monitor"/>
    <n v="7"/>
    <n v="283.14999999999998"/>
    <n v="1982.0499999999997"/>
  </r>
  <r>
    <s v="ORD-0156"/>
    <x v="128"/>
    <x v="1"/>
    <x v="2"/>
    <s v="Pens Set"/>
    <n v="6"/>
    <n v="9.27"/>
    <n v="55.62"/>
  </r>
  <r>
    <s v="ORD-0157"/>
    <x v="129"/>
    <x v="1"/>
    <x v="2"/>
    <s v="Labels"/>
    <n v="6"/>
    <n v="7.21"/>
    <n v="43.26"/>
  </r>
  <r>
    <s v="ORD-0158"/>
    <x v="130"/>
    <x v="0"/>
    <x v="0"/>
    <s v="Laptop"/>
    <n v="4"/>
    <n v="876.76"/>
    <n v="3507.04"/>
  </r>
  <r>
    <s v="ORD-0159"/>
    <x v="131"/>
    <x v="1"/>
    <x v="0"/>
    <s v="Laptop"/>
    <n v="7"/>
    <n v="947.58"/>
    <n v="6633.06"/>
  </r>
  <r>
    <s v="ORD-0160"/>
    <x v="132"/>
    <x v="2"/>
    <x v="2"/>
    <s v="Binders"/>
    <n v="5"/>
    <n v="13.16"/>
    <n v="65.8"/>
  </r>
  <r>
    <s v="ORD-0161"/>
    <x v="133"/>
    <x v="0"/>
    <x v="1"/>
    <s v="Bookshelf"/>
    <n v="6"/>
    <n v="232.79"/>
    <n v="1396.74"/>
  </r>
  <r>
    <s v="ORD-0162"/>
    <x v="24"/>
    <x v="3"/>
    <x v="0"/>
    <s v="Printer"/>
    <n v="3"/>
    <n v="174.95"/>
    <n v="524.84999999999991"/>
  </r>
  <r>
    <s v="ORD-0163"/>
    <x v="134"/>
    <x v="0"/>
    <x v="0"/>
    <s v="Monitor"/>
    <n v="8"/>
    <n v="285.76"/>
    <n v="2286.08"/>
  </r>
  <r>
    <s v="ORD-0164"/>
    <x v="135"/>
    <x v="3"/>
    <x v="2"/>
    <s v="Pens Set"/>
    <n v="8"/>
    <n v="8.4700000000000006"/>
    <n v="67.760000000000005"/>
  </r>
  <r>
    <s v="ORD-0165"/>
    <x v="5"/>
    <x v="2"/>
    <x v="2"/>
    <s v="Binders"/>
    <n v="2"/>
    <n v="11.83"/>
    <n v="23.66"/>
  </r>
  <r>
    <s v="ORD-0166"/>
    <x v="92"/>
    <x v="0"/>
    <x v="0"/>
    <s v="Printer"/>
    <n v="5"/>
    <n v="188.03"/>
    <n v="940.15"/>
  </r>
  <r>
    <s v="ORD-0167"/>
    <x v="31"/>
    <x v="2"/>
    <x v="2"/>
    <s v="Labels"/>
    <n v="2"/>
    <n v="6.56"/>
    <n v="13.12"/>
  </r>
  <r>
    <s v="ORD-0168"/>
    <x v="136"/>
    <x v="3"/>
    <x v="0"/>
    <s v="Keyboard"/>
    <n v="5"/>
    <n v="39.840000000000003"/>
    <n v="199.20000000000002"/>
  </r>
  <r>
    <s v="ORD-0169"/>
    <x v="137"/>
    <x v="2"/>
    <x v="2"/>
    <s v="Paper Pack"/>
    <n v="1"/>
    <n v="19.77"/>
    <n v="19.77"/>
  </r>
  <r>
    <s v="ORD-0170"/>
    <x v="108"/>
    <x v="2"/>
    <x v="1"/>
    <s v="Bookshelf"/>
    <n v="4"/>
    <n v="247.87"/>
    <n v="991.48"/>
  </r>
  <r>
    <s v="ORD-0171"/>
    <x v="138"/>
    <x v="1"/>
    <x v="0"/>
    <s v="Monitor"/>
    <n v="2"/>
    <n v="285.17"/>
    <n v="570.34"/>
  </r>
  <r>
    <s v="ORD-0172"/>
    <x v="139"/>
    <x v="1"/>
    <x v="2"/>
    <s v="Labels"/>
    <n v="1"/>
    <n v="7.13"/>
    <n v="7.13"/>
  </r>
  <r>
    <s v="ORD-0173"/>
    <x v="139"/>
    <x v="2"/>
    <x v="2"/>
    <s v="Pens Set"/>
    <n v="7"/>
    <n v="8.3000000000000007"/>
    <n v="58.100000000000009"/>
  </r>
  <r>
    <s v="ORD-0174"/>
    <x v="140"/>
    <x v="2"/>
    <x v="0"/>
    <s v="Keyboard"/>
    <n v="3"/>
    <n v="42.38"/>
    <n v="127.14000000000001"/>
  </r>
  <r>
    <s v="ORD-0175"/>
    <x v="141"/>
    <x v="0"/>
    <x v="0"/>
    <s v="Keyboard"/>
    <n v="2"/>
    <n v="44.66"/>
    <n v="89.32"/>
  </r>
  <r>
    <s v="ORD-0176"/>
    <x v="45"/>
    <x v="1"/>
    <x v="1"/>
    <s v="Storage Cabinet"/>
    <n v="6"/>
    <n v="247.96"/>
    <n v="1487.76"/>
  </r>
  <r>
    <s v="ORD-0177"/>
    <x v="142"/>
    <x v="2"/>
    <x v="2"/>
    <s v="Paper Pack"/>
    <n v="8"/>
    <n v="17.43"/>
    <n v="139.44"/>
  </r>
  <r>
    <s v="ORD-0178"/>
    <x v="8"/>
    <x v="3"/>
    <x v="0"/>
    <s v="Printer"/>
    <n v="6"/>
    <n v="172.14"/>
    <n v="1032.8399999999999"/>
  </r>
  <r>
    <s v="ORD-0179"/>
    <x v="143"/>
    <x v="3"/>
    <x v="1"/>
    <s v="Bookshelf"/>
    <n v="4"/>
    <n v="248.5"/>
    <n v="994"/>
  </r>
  <r>
    <s v="ORD-0180"/>
    <x v="132"/>
    <x v="1"/>
    <x v="0"/>
    <s v="Keyboard"/>
    <n v="7"/>
    <n v="40.86"/>
    <n v="286.02"/>
  </r>
  <r>
    <s v="ORD-0181"/>
    <x v="144"/>
    <x v="0"/>
    <x v="2"/>
    <s v="Labels"/>
    <n v="2"/>
    <n v="6.32"/>
    <n v="12.64"/>
  </r>
  <r>
    <s v="ORD-0182"/>
    <x v="75"/>
    <x v="3"/>
    <x v="2"/>
    <s v="Labels"/>
    <n v="6"/>
    <n v="7.29"/>
    <n v="43.74"/>
  </r>
  <r>
    <s v="ORD-0183"/>
    <x v="94"/>
    <x v="3"/>
    <x v="0"/>
    <s v="Monitor"/>
    <n v="7"/>
    <n v="269.67"/>
    <n v="1887.69"/>
  </r>
  <r>
    <s v="ORD-0184"/>
    <x v="145"/>
    <x v="0"/>
    <x v="2"/>
    <s v="Paper Pack"/>
    <n v="6"/>
    <n v="16.78"/>
    <n v="100.68"/>
  </r>
  <r>
    <s v="ORD-0185"/>
    <x v="138"/>
    <x v="2"/>
    <x v="2"/>
    <s v="Paper Pack"/>
    <n v="6"/>
    <n v="18.190000000000001"/>
    <n v="109.14000000000001"/>
  </r>
  <r>
    <s v="ORD-0186"/>
    <x v="146"/>
    <x v="3"/>
    <x v="1"/>
    <s v="Storage Cabinet"/>
    <n v="5"/>
    <n v="254.53"/>
    <n v="1272.6500000000001"/>
  </r>
  <r>
    <s v="ORD-0187"/>
    <x v="147"/>
    <x v="0"/>
    <x v="1"/>
    <s v="Desk"/>
    <n v="1"/>
    <n v="285.48"/>
    <n v="285.48"/>
  </r>
  <r>
    <s v="ORD-0188"/>
    <x v="148"/>
    <x v="0"/>
    <x v="1"/>
    <s v="Desk"/>
    <n v="2"/>
    <n v="345.33"/>
    <n v="690.66"/>
  </r>
  <r>
    <s v="ORD-0189"/>
    <x v="149"/>
    <x v="1"/>
    <x v="0"/>
    <s v="Monitor"/>
    <n v="4"/>
    <n v="249.3"/>
    <n v="997.2"/>
  </r>
  <r>
    <s v="ORD-0190"/>
    <x v="68"/>
    <x v="1"/>
    <x v="2"/>
    <s v="Binders"/>
    <n v="3"/>
    <n v="12.12"/>
    <n v="36.36"/>
  </r>
  <r>
    <s v="ORD-0191"/>
    <x v="37"/>
    <x v="2"/>
    <x v="0"/>
    <s v="Laptop"/>
    <n v="3"/>
    <n v="751.03"/>
    <n v="2253.09"/>
  </r>
  <r>
    <s v="ORD-0192"/>
    <x v="87"/>
    <x v="1"/>
    <x v="1"/>
    <s v="Desk"/>
    <n v="5"/>
    <n v="285.62"/>
    <n v="1428.1"/>
  </r>
  <r>
    <s v="ORD-0193"/>
    <x v="23"/>
    <x v="1"/>
    <x v="0"/>
    <s v="Laptop"/>
    <n v="8"/>
    <n v="839.45"/>
    <n v="6715.6"/>
  </r>
  <r>
    <s v="ORD-0194"/>
    <x v="136"/>
    <x v="2"/>
    <x v="2"/>
    <s v="Binders"/>
    <n v="1"/>
    <n v="12.65"/>
    <n v="12.65"/>
  </r>
  <r>
    <s v="ORD-0195"/>
    <x v="38"/>
    <x v="3"/>
    <x v="2"/>
    <s v="Paper Pack"/>
    <n v="1"/>
    <n v="20.149999999999999"/>
    <n v="20.149999999999999"/>
  </r>
  <r>
    <s v="ORD-0196"/>
    <x v="145"/>
    <x v="1"/>
    <x v="0"/>
    <s v="Laptop"/>
    <n v="8"/>
    <n v="893.33"/>
    <n v="7146.64"/>
  </r>
  <r>
    <s v="ORD-0197"/>
    <x v="150"/>
    <x v="2"/>
    <x v="1"/>
    <s v="Bookshelf"/>
    <n v="3"/>
    <n v="214.98"/>
    <n v="644.93999999999994"/>
  </r>
  <r>
    <s v="ORD-0198"/>
    <x v="69"/>
    <x v="1"/>
    <x v="2"/>
    <s v="Pens Set"/>
    <n v="8"/>
    <n v="9.01"/>
    <n v="72.08"/>
  </r>
  <r>
    <s v="ORD-0199"/>
    <x v="60"/>
    <x v="3"/>
    <x v="0"/>
    <s v="Laptop"/>
    <n v="4"/>
    <n v="835.73"/>
    <n v="3342.92"/>
  </r>
  <r>
    <s v="ORD-0200"/>
    <x v="151"/>
    <x v="2"/>
    <x v="2"/>
    <s v="Labels"/>
    <n v="7"/>
    <n v="6.86"/>
    <n v="48.02"/>
  </r>
  <r>
    <s v="ORD-0201"/>
    <x v="152"/>
    <x v="3"/>
    <x v="2"/>
    <s v="Pens Set"/>
    <n v="5"/>
    <n v="8.73"/>
    <n v="43.650000000000006"/>
  </r>
  <r>
    <s v="ORD-0202"/>
    <x v="32"/>
    <x v="2"/>
    <x v="1"/>
    <s v="Office Chair"/>
    <n v="2"/>
    <n v="166.94"/>
    <n v="333.88"/>
  </r>
  <r>
    <s v="ORD-0203"/>
    <x v="58"/>
    <x v="2"/>
    <x v="1"/>
    <s v="Office Chair"/>
    <n v="6"/>
    <n v="192.55"/>
    <n v="1155.3000000000002"/>
  </r>
  <r>
    <s v="ORD-0204"/>
    <x v="153"/>
    <x v="2"/>
    <x v="0"/>
    <s v="Printer"/>
    <n v="1"/>
    <n v="211.36"/>
    <n v="211.36"/>
  </r>
  <r>
    <s v="ORD-0205"/>
    <x v="140"/>
    <x v="0"/>
    <x v="2"/>
    <s v="Paper Pack"/>
    <n v="4"/>
    <n v="16.510000000000002"/>
    <n v="66.040000000000006"/>
  </r>
  <r>
    <s v="ORD-0206"/>
    <x v="3"/>
    <x v="0"/>
    <x v="1"/>
    <s v="Bookshelf"/>
    <n v="6"/>
    <n v="217.82"/>
    <n v="1306.92"/>
  </r>
  <r>
    <s v="ORD-0207"/>
    <x v="83"/>
    <x v="2"/>
    <x v="2"/>
    <s v="Paper Pack"/>
    <n v="5"/>
    <n v="15.97"/>
    <n v="79.850000000000009"/>
  </r>
  <r>
    <s v="ORD-0208"/>
    <x v="134"/>
    <x v="3"/>
    <x v="2"/>
    <s v="Pens Set"/>
    <n v="1"/>
    <n v="8.31"/>
    <n v="8.31"/>
  </r>
  <r>
    <s v="ORD-0209"/>
    <x v="154"/>
    <x v="0"/>
    <x v="1"/>
    <s v="Desk"/>
    <n v="1"/>
    <n v="288.64999999999998"/>
    <n v="288.64999999999998"/>
  </r>
  <r>
    <s v="ORD-0210"/>
    <x v="48"/>
    <x v="2"/>
    <x v="2"/>
    <s v="Labels"/>
    <n v="8"/>
    <n v="6.73"/>
    <n v="53.84"/>
  </r>
  <r>
    <s v="ORD-0211"/>
    <x v="127"/>
    <x v="0"/>
    <x v="0"/>
    <s v="Keyboard"/>
    <n v="2"/>
    <n v="49.14"/>
    <n v="98.28"/>
  </r>
  <r>
    <s v="ORD-0212"/>
    <x v="93"/>
    <x v="3"/>
    <x v="0"/>
    <s v="Laptop"/>
    <n v="2"/>
    <n v="803.51"/>
    <n v="1607.02"/>
  </r>
  <r>
    <s v="ORD-0213"/>
    <x v="155"/>
    <x v="1"/>
    <x v="2"/>
    <s v="Labels"/>
    <n v="7"/>
    <n v="6.62"/>
    <n v="46.34"/>
  </r>
  <r>
    <s v="ORD-0214"/>
    <x v="84"/>
    <x v="3"/>
    <x v="2"/>
    <s v="Labels"/>
    <n v="2"/>
    <n v="6.64"/>
    <n v="13.28"/>
  </r>
  <r>
    <s v="ORD-0215"/>
    <x v="121"/>
    <x v="1"/>
    <x v="0"/>
    <s v="Keyboard"/>
    <n v="1"/>
    <n v="41.98"/>
    <n v="41.98"/>
  </r>
  <r>
    <s v="ORD-0216"/>
    <x v="16"/>
    <x v="2"/>
    <x v="1"/>
    <s v="Desk"/>
    <n v="5"/>
    <n v="354.2"/>
    <n v="1771"/>
  </r>
  <r>
    <s v="ORD-0217"/>
    <x v="69"/>
    <x v="0"/>
    <x v="2"/>
    <s v="Pens Set"/>
    <n v="2"/>
    <n v="7.94"/>
    <n v="15.88"/>
  </r>
  <r>
    <s v="ORD-0218"/>
    <x v="90"/>
    <x v="2"/>
    <x v="1"/>
    <s v="Storage Cabinet"/>
    <n v="4"/>
    <n v="275.02"/>
    <n v="1100.08"/>
  </r>
  <r>
    <s v="ORD-0219"/>
    <x v="156"/>
    <x v="1"/>
    <x v="1"/>
    <s v="Storage Cabinet"/>
    <n v="1"/>
    <n v="270.79000000000002"/>
    <n v="270.79000000000002"/>
  </r>
  <r>
    <s v="ORD-0220"/>
    <x v="157"/>
    <x v="2"/>
    <x v="2"/>
    <s v="Labels"/>
    <n v="7"/>
    <n v="7.35"/>
    <n v="51.449999999999996"/>
  </r>
  <r>
    <s v="ORD-0221"/>
    <x v="158"/>
    <x v="3"/>
    <x v="1"/>
    <s v="Storage Cabinet"/>
    <n v="1"/>
    <n v="305.77"/>
    <n v="305.77"/>
  </r>
  <r>
    <s v="ORD-0222"/>
    <x v="21"/>
    <x v="0"/>
    <x v="0"/>
    <s v="Keyboard"/>
    <n v="2"/>
    <n v="44.32"/>
    <n v="88.64"/>
  </r>
  <r>
    <s v="ORD-0223"/>
    <x v="159"/>
    <x v="2"/>
    <x v="2"/>
    <s v="Labels"/>
    <n v="2"/>
    <n v="6.82"/>
    <n v="13.64"/>
  </r>
  <r>
    <s v="ORD-0224"/>
    <x v="131"/>
    <x v="1"/>
    <x v="1"/>
    <s v="Bookshelf"/>
    <n v="3"/>
    <n v="215.6"/>
    <n v="646.79999999999995"/>
  </r>
  <r>
    <s v="ORD-0225"/>
    <x v="138"/>
    <x v="0"/>
    <x v="0"/>
    <s v="Monitor"/>
    <n v="6"/>
    <n v="250.71"/>
    <n v="1504.26"/>
  </r>
  <r>
    <s v="ORD-0226"/>
    <x v="160"/>
    <x v="0"/>
    <x v="1"/>
    <s v="Office Chair"/>
    <n v="3"/>
    <n v="174.16"/>
    <n v="522.48"/>
  </r>
  <r>
    <s v="ORD-0227"/>
    <x v="161"/>
    <x v="3"/>
    <x v="0"/>
    <s v="Laptop"/>
    <n v="3"/>
    <n v="942.06"/>
    <n v="2826.18"/>
  </r>
  <r>
    <s v="ORD-0228"/>
    <x v="161"/>
    <x v="2"/>
    <x v="2"/>
    <s v="Labels"/>
    <n v="6"/>
    <n v="7.61"/>
    <n v="45.660000000000004"/>
  </r>
  <r>
    <s v="ORD-0229"/>
    <x v="162"/>
    <x v="2"/>
    <x v="1"/>
    <s v="Storage Cabinet"/>
    <n v="2"/>
    <n v="272.95"/>
    <n v="545.9"/>
  </r>
  <r>
    <s v="ORD-0230"/>
    <x v="159"/>
    <x v="3"/>
    <x v="2"/>
    <s v="Paper Pack"/>
    <n v="6"/>
    <n v="18.03"/>
    <n v="108.18"/>
  </r>
  <r>
    <s v="ORD-0231"/>
    <x v="79"/>
    <x v="1"/>
    <x v="2"/>
    <s v="Paper Pack"/>
    <n v="1"/>
    <n v="17.43"/>
    <n v="17.43"/>
  </r>
  <r>
    <s v="ORD-0232"/>
    <x v="148"/>
    <x v="1"/>
    <x v="0"/>
    <s v="Laptop"/>
    <n v="7"/>
    <n v="842.39"/>
    <n v="5896.73"/>
  </r>
  <r>
    <s v="ORD-0233"/>
    <x v="163"/>
    <x v="0"/>
    <x v="2"/>
    <s v="Binders"/>
    <n v="6"/>
    <n v="12.3"/>
    <n v="73.800000000000011"/>
  </r>
  <r>
    <s v="ORD-0234"/>
    <x v="164"/>
    <x v="1"/>
    <x v="1"/>
    <s v="Storage Cabinet"/>
    <n v="2"/>
    <n v="295.52"/>
    <n v="591.04"/>
  </r>
  <r>
    <s v="ORD-0235"/>
    <x v="165"/>
    <x v="3"/>
    <x v="0"/>
    <s v="Monitor"/>
    <n v="1"/>
    <n v="244.26"/>
    <n v="244.26"/>
  </r>
  <r>
    <s v="ORD-0236"/>
    <x v="166"/>
    <x v="3"/>
    <x v="0"/>
    <s v="Monitor"/>
    <n v="6"/>
    <n v="252.07"/>
    <n v="1512.42"/>
  </r>
  <r>
    <s v="ORD-0237"/>
    <x v="167"/>
    <x v="2"/>
    <x v="2"/>
    <s v="Pens Set"/>
    <n v="1"/>
    <n v="9.6199999999999992"/>
    <n v="9.6199999999999992"/>
  </r>
  <r>
    <s v="ORD-0238"/>
    <x v="168"/>
    <x v="2"/>
    <x v="1"/>
    <s v="Bookshelf"/>
    <n v="2"/>
    <n v="243.34"/>
    <n v="486.68"/>
  </r>
  <r>
    <s v="ORD-0239"/>
    <x v="70"/>
    <x v="0"/>
    <x v="2"/>
    <s v="Binders"/>
    <n v="6"/>
    <n v="10.79"/>
    <n v="64.739999999999995"/>
  </r>
  <r>
    <s v="ORD-0240"/>
    <x v="29"/>
    <x v="1"/>
    <x v="2"/>
    <s v="Pens Set"/>
    <n v="7"/>
    <n v="8.1999999999999993"/>
    <n v="57.3999999999999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7728.1400000000012"/>
  </r>
  <r>
    <x v="1"/>
    <n v="15063.79"/>
  </r>
  <r>
    <x v="2"/>
    <n v="17203.55"/>
  </r>
  <r>
    <x v="3"/>
    <n v="21495.840000000004"/>
  </r>
  <r>
    <x v="4"/>
    <n v="21373.399999999994"/>
  </r>
  <r>
    <x v="5"/>
    <n v="6418.34"/>
  </r>
  <r>
    <x v="6"/>
    <n v="18026.330000000002"/>
  </r>
  <r>
    <x v="7"/>
    <n v="18921.7"/>
  </r>
  <r>
    <x v="8"/>
    <n v="5438.9699999999993"/>
  </r>
  <r>
    <x v="9"/>
    <n v="26678.189999999991"/>
  </r>
  <r>
    <x v="10"/>
    <n v="22636.27"/>
  </r>
  <r>
    <x v="11"/>
    <n v="18690.55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6EAED-0AD5-4A8E-813B-DC88A930CA6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8">
    <pivotField compact="0" outline="0" showAll="0"/>
    <pivotField compact="0" numFmtId="164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4" outline="0" showAll="0"/>
    <pivotField dataField="1" compact="0" numFmtId="4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2" fld="7" baseField="0" baseItem="0" numFmtId="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B1B7D-A0C0-42F1-BEEC-8762EED1EF12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8">
    <pivotField compact="0" outline="0" showAll="0"/>
    <pivotField compact="0" numFmtId="16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numFmtId="4" outline="0" showAll="0"/>
    <pivotField compact="0" numFmtId="4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50053-ABCE-4CC8-9A87-642FB714980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8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4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75917-DA98-4AB3-8737-F0AE1C8C10F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73" firstHeaderRow="1" firstDataRow="1" firstDataCol="1"/>
  <pivotFields count="8">
    <pivotField compact="0" outline="0" showAll="0"/>
    <pivotField axis="axisRow" compact="0" numFmtId="164" outline="0" showAll="0">
      <items count="170">
        <item x="116"/>
        <item x="74"/>
        <item x="135"/>
        <item x="106"/>
        <item x="2"/>
        <item x="1"/>
        <item x="59"/>
        <item x="55"/>
        <item x="132"/>
        <item x="88"/>
        <item x="33"/>
        <item x="12"/>
        <item x="28"/>
        <item x="61"/>
        <item x="30"/>
        <item x="46"/>
        <item x="141"/>
        <item x="24"/>
        <item x="42"/>
        <item x="101"/>
        <item x="151"/>
        <item x="32"/>
        <item x="21"/>
        <item x="34"/>
        <item x="54"/>
        <item x="62"/>
        <item x="119"/>
        <item x="146"/>
        <item x="125"/>
        <item x="139"/>
        <item x="50"/>
        <item x="86"/>
        <item x="16"/>
        <item x="134"/>
        <item x="133"/>
        <item x="149"/>
        <item x="152"/>
        <item x="127"/>
        <item x="20"/>
        <item x="17"/>
        <item x="22"/>
        <item x="158"/>
        <item x="160"/>
        <item x="68"/>
        <item x="57"/>
        <item x="105"/>
        <item x="35"/>
        <item x="99"/>
        <item x="71"/>
        <item x="13"/>
        <item x="4"/>
        <item x="109"/>
        <item x="60"/>
        <item x="112"/>
        <item x="103"/>
        <item x="8"/>
        <item x="37"/>
        <item x="123"/>
        <item x="100"/>
        <item x="0"/>
        <item x="89"/>
        <item x="107"/>
        <item x="53"/>
        <item x="39"/>
        <item x="83"/>
        <item x="150"/>
        <item x="52"/>
        <item x="3"/>
        <item x="166"/>
        <item x="79"/>
        <item x="130"/>
        <item x="40"/>
        <item x="67"/>
        <item x="92"/>
        <item x="110"/>
        <item x="159"/>
        <item x="115"/>
        <item x="97"/>
        <item x="147"/>
        <item x="98"/>
        <item x="164"/>
        <item x="5"/>
        <item x="82"/>
        <item x="23"/>
        <item x="9"/>
        <item x="91"/>
        <item x="48"/>
        <item x="6"/>
        <item x="11"/>
        <item x="73"/>
        <item x="168"/>
        <item x="45"/>
        <item x="128"/>
        <item x="38"/>
        <item x="113"/>
        <item x="58"/>
        <item x="157"/>
        <item x="87"/>
        <item x="69"/>
        <item x="63"/>
        <item x="65"/>
        <item x="165"/>
        <item x="145"/>
        <item x="96"/>
        <item x="126"/>
        <item x="156"/>
        <item x="76"/>
        <item x="81"/>
        <item x="18"/>
        <item x="124"/>
        <item x="77"/>
        <item x="140"/>
        <item x="120"/>
        <item x="129"/>
        <item x="94"/>
        <item x="137"/>
        <item x="163"/>
        <item x="47"/>
        <item x="64"/>
        <item x="155"/>
        <item x="78"/>
        <item x="154"/>
        <item x="25"/>
        <item x="19"/>
        <item x="144"/>
        <item x="36"/>
        <item x="118"/>
        <item x="148"/>
        <item x="56"/>
        <item x="15"/>
        <item x="43"/>
        <item x="31"/>
        <item x="122"/>
        <item x="102"/>
        <item x="44"/>
        <item x="41"/>
        <item x="104"/>
        <item x="95"/>
        <item x="121"/>
        <item x="153"/>
        <item x="51"/>
        <item x="26"/>
        <item x="72"/>
        <item x="108"/>
        <item x="85"/>
        <item x="161"/>
        <item x="117"/>
        <item x="162"/>
        <item x="131"/>
        <item x="143"/>
        <item x="14"/>
        <item x="138"/>
        <item x="167"/>
        <item x="49"/>
        <item x="136"/>
        <item x="93"/>
        <item x="70"/>
        <item x="66"/>
        <item x="90"/>
        <item x="27"/>
        <item x="142"/>
        <item x="84"/>
        <item x="114"/>
        <item x="75"/>
        <item x="111"/>
        <item x="10"/>
        <item x="7"/>
        <item x="80"/>
        <item x="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dataField="1" compact="0" numFmtId="4" outline="0" showAll="0"/>
  </pivotFields>
  <rowFields count="1">
    <field x="1"/>
  </rowFields>
  <rowItems count="1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 t="grand">
      <x/>
    </i>
  </rowItems>
  <colItems count="1">
    <i/>
  </colItems>
  <dataFields count="1">
    <dataField name="Sum of Revenue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6EAAB-1941-4594-B8A8-BFB8D5A60B9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8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4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CFCEA-49BF-481C-A5D7-22BE44F3B7C8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8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4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8C28C-6503-4BE0-99A1-2A40865FEACF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2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8573960-F9BA-45F7-9815-9E6CBA9950E7}" sourceName="Region">
  <pivotTables>
    <pivotTable tabId="3" name="PivotTable1"/>
  </pivotTables>
  <data>
    <tabular pivotCacheId="447556274">
      <items count="4">
        <i x="1" s="1"/>
        <i x="0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DF57077-1890-4EF7-8FCD-3AC634101239}" sourceName="Category">
  <pivotTables>
    <pivotTable tabId="4" name="PivotTable2"/>
  </pivotTables>
  <data>
    <tabular pivotCacheId="447556274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53F597E-1451-4BDC-9A47-4D792A094B1D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2BAE817E-BF5C-4BDE-AB30-E10831C5D8A6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I241" totalsRowShown="0">
  <autoFilter ref="A1:I241" xr:uid="{00000000-000C-0000-FFFF-FFFF00000000}">
    <filterColumn colId="0" hiddenButton="1"/>
  </autoFilter>
  <tableColumns count="9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Category"/>
    <tableColumn id="5" xr3:uid="{00000000-0010-0000-0000-000005000000}" name="Product"/>
    <tableColumn id="6" xr3:uid="{00000000-0010-0000-0000-000006000000}" name="Quantity"/>
    <tableColumn id="7" xr3:uid="{00000000-0010-0000-0000-000007000000}" name="Unit Price"/>
    <tableColumn id="8" xr3:uid="{00000000-0010-0000-0000-000008000000}" name="Revenue"/>
    <tableColumn id="9" xr3:uid="{4C8C3B0A-0F58-430E-8B15-D39A237C3205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BD49-39F2-4DD9-A58F-E5086E80206D}">
  <dimension ref="A3:B8"/>
  <sheetViews>
    <sheetView workbookViewId="0">
      <selection activeCell="O17" sqref="O17"/>
    </sheetView>
  </sheetViews>
  <sheetFormatPr defaultRowHeight="14.25"/>
  <cols>
    <col min="1" max="1" width="11.375" bestFit="1" customWidth="1"/>
    <col min="2" max="2" width="16.5" bestFit="1" customWidth="1"/>
    <col min="3" max="3" width="15.5" bestFit="1" customWidth="1"/>
  </cols>
  <sheetData>
    <row r="3" spans="1:2">
      <c r="A3" s="6" t="s">
        <v>0</v>
      </c>
      <c r="B3" t="s">
        <v>1</v>
      </c>
    </row>
    <row r="4" spans="1:2">
      <c r="A4" t="s">
        <v>2</v>
      </c>
      <c r="B4" s="3">
        <v>62238.909999999989</v>
      </c>
    </row>
    <row r="5" spans="1:2">
      <c r="A5" t="s">
        <v>3</v>
      </c>
      <c r="B5" s="3">
        <v>40817.400000000009</v>
      </c>
    </row>
    <row r="6" spans="1:2">
      <c r="A6" t="s">
        <v>4</v>
      </c>
      <c r="B6" s="3">
        <v>58214.479999999989</v>
      </c>
    </row>
    <row r="7" spans="1:2">
      <c r="A7" t="s">
        <v>5</v>
      </c>
      <c r="B7" s="3">
        <v>38404.279999999992</v>
      </c>
    </row>
    <row r="8" spans="1:2">
      <c r="A8" t="s">
        <v>6</v>
      </c>
      <c r="B8" s="3">
        <v>199675.06999999998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CD21-7E2C-482E-BD7C-8B9A103F2693}">
  <dimension ref="A3:B7"/>
  <sheetViews>
    <sheetView workbookViewId="0">
      <selection activeCell="H20" sqref="H20"/>
    </sheetView>
  </sheetViews>
  <sheetFormatPr defaultRowHeight="14.25"/>
  <cols>
    <col min="1" max="1" width="13.5" bestFit="1" customWidth="1"/>
    <col min="2" max="2" width="15.625" bestFit="1" customWidth="1"/>
  </cols>
  <sheetData>
    <row r="3" spans="1:2">
      <c r="A3" s="6" t="s">
        <v>7</v>
      </c>
      <c r="B3" t="s">
        <v>8</v>
      </c>
    </row>
    <row r="4" spans="1:2">
      <c r="A4" t="s">
        <v>9</v>
      </c>
      <c r="B4">
        <v>327</v>
      </c>
    </row>
    <row r="5" spans="1:2">
      <c r="A5" t="s">
        <v>10</v>
      </c>
      <c r="B5">
        <v>415</v>
      </c>
    </row>
    <row r="6" spans="1:2">
      <c r="A6" t="s">
        <v>11</v>
      </c>
      <c r="B6">
        <v>341</v>
      </c>
    </row>
    <row r="7" spans="1:2">
      <c r="A7" t="s">
        <v>6</v>
      </c>
      <c r="B7">
        <v>1083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9242-A485-4652-BA36-9ADA08353817}">
  <dimension ref="A3:C20"/>
  <sheetViews>
    <sheetView workbookViewId="0">
      <selection activeCell="A3" sqref="A3"/>
    </sheetView>
  </sheetViews>
  <sheetFormatPr defaultRowHeight="14.2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79D0-9059-4E7F-8A48-FE8C84D067FB}">
  <dimension ref="A3:B173"/>
  <sheetViews>
    <sheetView workbookViewId="0">
      <selection activeCell="A3" sqref="A3"/>
    </sheetView>
  </sheetViews>
  <sheetFormatPr defaultRowHeight="14.25"/>
  <cols>
    <col min="1" max="1" width="13.5" bestFit="1" customWidth="1"/>
    <col min="2" max="2" width="15.5" bestFit="1" customWidth="1"/>
  </cols>
  <sheetData>
    <row r="3" spans="1:2">
      <c r="A3" s="6" t="s">
        <v>12</v>
      </c>
      <c r="B3" t="s">
        <v>13</v>
      </c>
    </row>
    <row r="4" spans="1:2">
      <c r="A4" s="2">
        <v>45658</v>
      </c>
      <c r="B4" s="3">
        <v>137.06</v>
      </c>
    </row>
    <row r="5" spans="1:2">
      <c r="A5" s="2">
        <v>45660</v>
      </c>
      <c r="B5" s="3">
        <v>37.349999999999994</v>
      </c>
    </row>
    <row r="6" spans="1:2">
      <c r="A6" s="2">
        <v>45662</v>
      </c>
      <c r="B6" s="3">
        <v>67.760000000000005</v>
      </c>
    </row>
    <row r="7" spans="1:2">
      <c r="A7" s="2">
        <v>45664</v>
      </c>
      <c r="B7" s="3">
        <v>1881.6</v>
      </c>
    </row>
    <row r="8" spans="1:2">
      <c r="A8" s="2">
        <v>45671</v>
      </c>
      <c r="B8" s="3">
        <v>1281.6400000000001</v>
      </c>
    </row>
    <row r="9" spans="1:2">
      <c r="A9" s="2">
        <v>45674</v>
      </c>
      <c r="B9" s="3">
        <v>378.04</v>
      </c>
    </row>
    <row r="10" spans="1:2">
      <c r="A10" s="2">
        <v>45677</v>
      </c>
      <c r="B10" s="3">
        <v>23.32</v>
      </c>
    </row>
    <row r="11" spans="1:2">
      <c r="A11" s="2">
        <v>45678</v>
      </c>
      <c r="B11" s="3">
        <v>61.849999999999994</v>
      </c>
    </row>
    <row r="12" spans="1:2">
      <c r="A12" s="2">
        <v>45681</v>
      </c>
      <c r="B12" s="3">
        <v>351.82</v>
      </c>
    </row>
    <row r="13" spans="1:2">
      <c r="A13" s="2">
        <v>45684</v>
      </c>
      <c r="B13" s="3">
        <v>345.28</v>
      </c>
    </row>
    <row r="14" spans="1:2">
      <c r="A14" s="2">
        <v>45685</v>
      </c>
      <c r="B14" s="3">
        <v>1474.08</v>
      </c>
    </row>
    <row r="15" spans="1:2">
      <c r="A15" s="2">
        <v>45686</v>
      </c>
      <c r="B15" s="3">
        <v>1688.34</v>
      </c>
    </row>
    <row r="16" spans="1:2">
      <c r="A16" s="2">
        <v>45690</v>
      </c>
      <c r="B16" s="3">
        <v>13.16</v>
      </c>
    </row>
    <row r="17" spans="1:2">
      <c r="A17" s="2">
        <v>45693</v>
      </c>
      <c r="B17" s="3">
        <v>2147.67</v>
      </c>
    </row>
    <row r="18" spans="1:2">
      <c r="A18" s="2">
        <v>45694</v>
      </c>
      <c r="B18" s="3">
        <v>200.97</v>
      </c>
    </row>
    <row r="19" spans="1:2">
      <c r="A19" s="2">
        <v>45695</v>
      </c>
      <c r="B19" s="3">
        <v>379.21999999999997</v>
      </c>
    </row>
    <row r="20" spans="1:2">
      <c r="A20" s="2">
        <v>45696</v>
      </c>
      <c r="B20" s="3">
        <v>89.32</v>
      </c>
    </row>
    <row r="21" spans="1:2">
      <c r="A21" s="2">
        <v>45698</v>
      </c>
      <c r="B21" s="3">
        <v>1331.9699999999998</v>
      </c>
    </row>
    <row r="22" spans="1:2">
      <c r="A22" s="2">
        <v>45699</v>
      </c>
      <c r="B22" s="3">
        <v>347.85</v>
      </c>
    </row>
    <row r="23" spans="1:2">
      <c r="A23" s="2">
        <v>45705</v>
      </c>
      <c r="B23" s="3">
        <v>1626.88</v>
      </c>
    </row>
    <row r="24" spans="1:2">
      <c r="A24" s="2">
        <v>45706</v>
      </c>
      <c r="B24" s="3">
        <v>48.02</v>
      </c>
    </row>
    <row r="25" spans="1:2">
      <c r="A25" s="2">
        <v>45707</v>
      </c>
      <c r="B25" s="3">
        <v>2115.87</v>
      </c>
    </row>
    <row r="26" spans="1:2">
      <c r="A26" s="2">
        <v>45712</v>
      </c>
      <c r="B26" s="3">
        <v>809.95999999999992</v>
      </c>
    </row>
    <row r="27" spans="1:2">
      <c r="A27" s="2">
        <v>45713</v>
      </c>
      <c r="B27" s="3">
        <v>4603.4399999999996</v>
      </c>
    </row>
    <row r="28" spans="1:2">
      <c r="A28" s="2">
        <v>45715</v>
      </c>
      <c r="B28" s="3">
        <v>1349.46</v>
      </c>
    </row>
    <row r="29" spans="1:2">
      <c r="A29" s="2">
        <v>45717</v>
      </c>
      <c r="B29" s="3">
        <v>46.44</v>
      </c>
    </row>
    <row r="30" spans="1:2">
      <c r="A30" s="2">
        <v>45718</v>
      </c>
      <c r="B30" s="3">
        <v>634.08000000000004</v>
      </c>
    </row>
    <row r="31" spans="1:2">
      <c r="A31" s="2">
        <v>45720</v>
      </c>
      <c r="B31" s="3">
        <v>1272.6500000000001</v>
      </c>
    </row>
    <row r="32" spans="1:2">
      <c r="A32" s="2">
        <v>45722</v>
      </c>
      <c r="B32" s="3">
        <v>106.72</v>
      </c>
    </row>
    <row r="33" spans="1:2">
      <c r="A33" s="2">
        <v>45725</v>
      </c>
      <c r="B33" s="3">
        <v>65.23</v>
      </c>
    </row>
    <row r="34" spans="1:2">
      <c r="A34" s="2">
        <v>45726</v>
      </c>
      <c r="B34" s="3">
        <v>99.48</v>
      </c>
    </row>
    <row r="35" spans="1:2">
      <c r="A35" s="2">
        <v>45727</v>
      </c>
      <c r="B35" s="3">
        <v>37.24</v>
      </c>
    </row>
    <row r="36" spans="1:2">
      <c r="A36" s="2">
        <v>45728</v>
      </c>
      <c r="B36" s="3">
        <v>3056.9700000000003</v>
      </c>
    </row>
    <row r="37" spans="1:2">
      <c r="A37" s="2">
        <v>45731</v>
      </c>
      <c r="B37" s="3">
        <v>2294.39</v>
      </c>
    </row>
    <row r="38" spans="1:2">
      <c r="A38" s="2">
        <v>45732</v>
      </c>
      <c r="B38" s="3">
        <v>1396.74</v>
      </c>
    </row>
    <row r="39" spans="1:2">
      <c r="A39" s="2">
        <v>45733</v>
      </c>
      <c r="B39" s="3">
        <v>997.2</v>
      </c>
    </row>
    <row r="40" spans="1:2">
      <c r="A40" s="2">
        <v>45736</v>
      </c>
      <c r="B40" s="3">
        <v>43.650000000000006</v>
      </c>
    </row>
    <row r="41" spans="1:2">
      <c r="A41" s="2">
        <v>45737</v>
      </c>
      <c r="B41" s="3">
        <v>2080.33</v>
      </c>
    </row>
    <row r="42" spans="1:2">
      <c r="A42" s="2">
        <v>45738</v>
      </c>
      <c r="B42" s="3">
        <v>1057.51</v>
      </c>
    </row>
    <row r="43" spans="1:2">
      <c r="A43" s="2">
        <v>45739</v>
      </c>
      <c r="B43" s="3">
        <v>339.18</v>
      </c>
    </row>
    <row r="44" spans="1:2">
      <c r="A44" s="2">
        <v>45740</v>
      </c>
      <c r="B44" s="3">
        <v>756.39</v>
      </c>
    </row>
    <row r="45" spans="1:2">
      <c r="A45" s="2">
        <v>45745</v>
      </c>
      <c r="B45" s="3">
        <v>305.77</v>
      </c>
    </row>
    <row r="46" spans="1:2">
      <c r="A46" s="2">
        <v>45746</v>
      </c>
      <c r="B46" s="3">
        <v>522.48</v>
      </c>
    </row>
    <row r="47" spans="1:2">
      <c r="A47" s="2">
        <v>45747</v>
      </c>
      <c r="B47" s="3">
        <v>2091.1</v>
      </c>
    </row>
    <row r="48" spans="1:2">
      <c r="A48" s="2">
        <v>45748</v>
      </c>
      <c r="B48" s="3">
        <v>1131</v>
      </c>
    </row>
    <row r="49" spans="1:2">
      <c r="A49" s="2">
        <v>45749</v>
      </c>
      <c r="B49" s="3">
        <v>1495.35</v>
      </c>
    </row>
    <row r="50" spans="1:2">
      <c r="A50" s="2">
        <v>45751</v>
      </c>
      <c r="B50" s="3">
        <v>2338.96</v>
      </c>
    </row>
    <row r="51" spans="1:2">
      <c r="A51" s="2">
        <v>45755</v>
      </c>
      <c r="B51" s="3">
        <v>45.18</v>
      </c>
    </row>
    <row r="52" spans="1:2">
      <c r="A52" s="2">
        <v>45759</v>
      </c>
      <c r="B52" s="3">
        <v>1548.43</v>
      </c>
    </row>
    <row r="53" spans="1:2">
      <c r="A53" s="2">
        <v>45766</v>
      </c>
      <c r="B53" s="3">
        <v>2484.4900000000002</v>
      </c>
    </row>
    <row r="54" spans="1:2">
      <c r="A54" s="2">
        <v>45768</v>
      </c>
      <c r="B54" s="3">
        <v>1562.04</v>
      </c>
    </row>
    <row r="55" spans="1:2">
      <c r="A55" s="2">
        <v>45773</v>
      </c>
      <c r="B55" s="3">
        <v>1651.72</v>
      </c>
    </row>
    <row r="56" spans="1:2">
      <c r="A56" s="2">
        <v>45774</v>
      </c>
      <c r="B56" s="3">
        <v>5810.52</v>
      </c>
    </row>
    <row r="57" spans="1:2">
      <c r="A57" s="2">
        <v>45775</v>
      </c>
      <c r="B57" s="3">
        <v>199.4</v>
      </c>
    </row>
    <row r="58" spans="1:2">
      <c r="A58" s="2">
        <v>45776</v>
      </c>
      <c r="B58" s="3">
        <v>86.6</v>
      </c>
    </row>
    <row r="59" spans="1:2">
      <c r="A59" s="2">
        <v>45777</v>
      </c>
      <c r="B59" s="3">
        <v>3142.1499999999996</v>
      </c>
    </row>
    <row r="60" spans="1:2">
      <c r="A60" s="2">
        <v>45779</v>
      </c>
      <c r="B60" s="3">
        <v>2660.9500000000003</v>
      </c>
    </row>
    <row r="61" spans="1:2">
      <c r="A61" s="2">
        <v>45780</v>
      </c>
      <c r="B61" s="3">
        <v>40.159999999999997</v>
      </c>
    </row>
    <row r="62" spans="1:2">
      <c r="A62" s="2">
        <v>45781</v>
      </c>
      <c r="B62" s="3">
        <v>2229.12</v>
      </c>
    </row>
    <row r="63" spans="1:2">
      <c r="A63" s="2">
        <v>45783</v>
      </c>
      <c r="B63" s="3">
        <v>899.28</v>
      </c>
    </row>
    <row r="64" spans="1:2">
      <c r="A64" s="2">
        <v>45784</v>
      </c>
      <c r="B64" s="3">
        <v>196.29</v>
      </c>
    </row>
    <row r="65" spans="1:2">
      <c r="A65" s="2">
        <v>45785</v>
      </c>
      <c r="B65" s="3">
        <v>1440.6999999999998</v>
      </c>
    </row>
    <row r="66" spans="1:2">
      <c r="A66" s="2">
        <v>45792</v>
      </c>
      <c r="B66" s="3">
        <v>743.7</v>
      </c>
    </row>
    <row r="67" spans="1:2">
      <c r="A67" s="2">
        <v>45793</v>
      </c>
      <c r="B67" s="3">
        <v>3997.55</v>
      </c>
    </row>
    <row r="68" spans="1:2">
      <c r="A68" s="2">
        <v>45797</v>
      </c>
      <c r="B68" s="3">
        <v>107.77000000000001</v>
      </c>
    </row>
    <row r="69" spans="1:2">
      <c r="A69" s="2">
        <v>45798</v>
      </c>
      <c r="B69" s="3">
        <v>644.93999999999994</v>
      </c>
    </row>
    <row r="70" spans="1:2">
      <c r="A70" s="2">
        <v>45799</v>
      </c>
      <c r="B70" s="3">
        <v>37.159999999999997</v>
      </c>
    </row>
    <row r="71" spans="1:2">
      <c r="A71" s="2">
        <v>45800</v>
      </c>
      <c r="B71" s="3">
        <v>2057.6400000000003</v>
      </c>
    </row>
    <row r="72" spans="1:2">
      <c r="A72" s="2">
        <v>45802</v>
      </c>
      <c r="B72" s="3">
        <v>1512.42</v>
      </c>
    </row>
    <row r="73" spans="1:2">
      <c r="A73" s="2">
        <v>45804</v>
      </c>
      <c r="B73" s="3">
        <v>1298.68</v>
      </c>
    </row>
    <row r="74" spans="1:2">
      <c r="A74" s="2">
        <v>45805</v>
      </c>
      <c r="B74" s="3">
        <v>3507.04</v>
      </c>
    </row>
    <row r="75" spans="1:2">
      <c r="A75" s="2">
        <v>45809</v>
      </c>
      <c r="B75" s="3">
        <v>1164.6600000000001</v>
      </c>
    </row>
    <row r="76" spans="1:2">
      <c r="A76" s="2">
        <v>45811</v>
      </c>
      <c r="B76" s="3">
        <v>94.74</v>
      </c>
    </row>
    <row r="77" spans="1:2">
      <c r="A77" s="2">
        <v>45812</v>
      </c>
      <c r="B77" s="3">
        <v>1484.75</v>
      </c>
    </row>
    <row r="78" spans="1:2">
      <c r="A78" s="2">
        <v>45815</v>
      </c>
      <c r="B78" s="3">
        <v>21.46</v>
      </c>
    </row>
    <row r="79" spans="1:2">
      <c r="A79" s="2">
        <v>45816</v>
      </c>
      <c r="B79" s="3">
        <v>121.82000000000001</v>
      </c>
    </row>
    <row r="80" spans="1:2">
      <c r="A80" s="2">
        <v>45819</v>
      </c>
      <c r="B80" s="3">
        <v>6.92</v>
      </c>
    </row>
    <row r="81" spans="1:2">
      <c r="A81" s="2">
        <v>45824</v>
      </c>
      <c r="B81" s="3">
        <v>37.26</v>
      </c>
    </row>
    <row r="82" spans="1:2">
      <c r="A82" s="2">
        <v>45828</v>
      </c>
      <c r="B82" s="3">
        <v>285.48</v>
      </c>
    </row>
    <row r="83" spans="1:2">
      <c r="A83" s="2">
        <v>45832</v>
      </c>
      <c r="B83" s="3">
        <v>77.16</v>
      </c>
    </row>
    <row r="84" spans="1:2">
      <c r="A84" s="2">
        <v>45833</v>
      </c>
      <c r="B84" s="3">
        <v>591.04</v>
      </c>
    </row>
    <row r="85" spans="1:2">
      <c r="A85" s="2">
        <v>45834</v>
      </c>
      <c r="B85" s="3">
        <v>1193.2900000000002</v>
      </c>
    </row>
    <row r="86" spans="1:2">
      <c r="A86" s="2">
        <v>45838</v>
      </c>
      <c r="B86" s="3">
        <v>1339.76</v>
      </c>
    </row>
    <row r="87" spans="1:2">
      <c r="A87" s="2">
        <v>45843</v>
      </c>
      <c r="B87" s="3">
        <v>7034.08</v>
      </c>
    </row>
    <row r="88" spans="1:2">
      <c r="A88" s="2">
        <v>45844</v>
      </c>
      <c r="B88" s="3">
        <v>74.319999999999993</v>
      </c>
    </row>
    <row r="89" spans="1:2">
      <c r="A89" s="2">
        <v>45846</v>
      </c>
      <c r="B89" s="3">
        <v>2179.6</v>
      </c>
    </row>
    <row r="90" spans="1:2">
      <c r="A90" s="2">
        <v>45847</v>
      </c>
      <c r="B90" s="3">
        <v>577.54000000000008</v>
      </c>
    </row>
    <row r="91" spans="1:2">
      <c r="A91" s="2">
        <v>45851</v>
      </c>
      <c r="B91" s="3">
        <v>612.46</v>
      </c>
    </row>
    <row r="92" spans="1:2">
      <c r="A92" s="2">
        <v>45852</v>
      </c>
      <c r="B92" s="3">
        <v>1766.28</v>
      </c>
    </row>
    <row r="93" spans="1:2">
      <c r="A93" s="2">
        <v>45854</v>
      </c>
      <c r="B93" s="3">
        <v>29.48</v>
      </c>
    </row>
    <row r="94" spans="1:2">
      <c r="A94" s="2">
        <v>45855</v>
      </c>
      <c r="B94" s="3">
        <v>486.68</v>
      </c>
    </row>
    <row r="95" spans="1:2">
      <c r="A95" s="2">
        <v>45860</v>
      </c>
      <c r="B95" s="3">
        <v>1555.26</v>
      </c>
    </row>
    <row r="96" spans="1:2">
      <c r="A96" s="2">
        <v>45861</v>
      </c>
      <c r="B96" s="3">
        <v>55.62</v>
      </c>
    </row>
    <row r="97" spans="1:2">
      <c r="A97" s="2">
        <v>45863</v>
      </c>
      <c r="B97" s="3">
        <v>72.31</v>
      </c>
    </row>
    <row r="98" spans="1:2">
      <c r="A98" s="2">
        <v>45867</v>
      </c>
      <c r="B98" s="3">
        <v>377.26</v>
      </c>
    </row>
    <row r="99" spans="1:2">
      <c r="A99" s="2">
        <v>45868</v>
      </c>
      <c r="B99" s="3">
        <v>3205.44</v>
      </c>
    </row>
    <row r="100" spans="1:2">
      <c r="A100" s="2">
        <v>45871</v>
      </c>
      <c r="B100" s="3">
        <v>51.449999999999996</v>
      </c>
    </row>
    <row r="101" spans="1:2">
      <c r="A101" s="2">
        <v>45873</v>
      </c>
      <c r="B101" s="3">
        <v>1487.74</v>
      </c>
    </row>
    <row r="102" spans="1:2">
      <c r="A102" s="2">
        <v>45878</v>
      </c>
      <c r="B102" s="3">
        <v>173.35999999999999</v>
      </c>
    </row>
    <row r="103" spans="1:2">
      <c r="A103" s="2">
        <v>45880</v>
      </c>
      <c r="B103" s="3">
        <v>293.03999999999996</v>
      </c>
    </row>
    <row r="104" spans="1:2">
      <c r="A104" s="2">
        <v>45881</v>
      </c>
      <c r="B104" s="3">
        <v>53.449999999999996</v>
      </c>
    </row>
    <row r="105" spans="1:2">
      <c r="A105" s="2">
        <v>45882</v>
      </c>
      <c r="B105" s="3">
        <v>244.26</v>
      </c>
    </row>
    <row r="106" spans="1:2">
      <c r="A106" s="2">
        <v>45885</v>
      </c>
      <c r="B106" s="3">
        <v>7247.3200000000006</v>
      </c>
    </row>
    <row r="107" spans="1:2">
      <c r="A107" s="2">
        <v>45888</v>
      </c>
      <c r="B107" s="3">
        <v>22.72</v>
      </c>
    </row>
    <row r="108" spans="1:2">
      <c r="A108" s="2">
        <v>45891</v>
      </c>
      <c r="B108" s="3">
        <v>553.41999999999996</v>
      </c>
    </row>
    <row r="109" spans="1:2">
      <c r="A109" s="2">
        <v>45893</v>
      </c>
      <c r="B109" s="3">
        <v>270.79000000000002</v>
      </c>
    </row>
    <row r="110" spans="1:2">
      <c r="A110" s="2">
        <v>45895</v>
      </c>
      <c r="B110" s="3">
        <v>633.32000000000005</v>
      </c>
    </row>
    <row r="111" spans="1:2">
      <c r="A111" s="2">
        <v>45896</v>
      </c>
      <c r="B111" s="3">
        <v>1846.8799999999999</v>
      </c>
    </row>
    <row r="112" spans="1:2">
      <c r="A112" s="2">
        <v>45897</v>
      </c>
      <c r="B112" s="3">
        <v>5780.95</v>
      </c>
    </row>
    <row r="113" spans="1:2">
      <c r="A113" s="2">
        <v>45900</v>
      </c>
      <c r="B113" s="3">
        <v>263</v>
      </c>
    </row>
    <row r="114" spans="1:2">
      <c r="A114" s="2">
        <v>45901</v>
      </c>
      <c r="B114" s="3">
        <v>61.36</v>
      </c>
    </row>
    <row r="115" spans="1:2">
      <c r="A115" s="2">
        <v>45904</v>
      </c>
      <c r="B115" s="3">
        <v>193.18</v>
      </c>
    </row>
    <row r="116" spans="1:2">
      <c r="A116" s="2">
        <v>45905</v>
      </c>
      <c r="B116" s="3">
        <v>44.1</v>
      </c>
    </row>
    <row r="117" spans="1:2">
      <c r="A117" s="2">
        <v>45907</v>
      </c>
      <c r="B117" s="3">
        <v>43.26</v>
      </c>
    </row>
    <row r="118" spans="1:2">
      <c r="A118" s="2">
        <v>45908</v>
      </c>
      <c r="B118" s="3">
        <v>2147.83</v>
      </c>
    </row>
    <row r="119" spans="1:2">
      <c r="A119" s="2">
        <v>45912</v>
      </c>
      <c r="B119" s="3">
        <v>19.77</v>
      </c>
    </row>
    <row r="120" spans="1:2">
      <c r="A120" s="2">
        <v>45914</v>
      </c>
      <c r="B120" s="3">
        <v>73.800000000000011</v>
      </c>
    </row>
    <row r="121" spans="1:2">
      <c r="A121" s="2">
        <v>45917</v>
      </c>
      <c r="B121" s="3">
        <v>1651.78</v>
      </c>
    </row>
    <row r="122" spans="1:2">
      <c r="A122" s="2">
        <v>45919</v>
      </c>
      <c r="B122" s="3">
        <v>381.45</v>
      </c>
    </row>
    <row r="123" spans="1:2">
      <c r="A123" s="2">
        <v>45920</v>
      </c>
      <c r="B123" s="3">
        <v>46.34</v>
      </c>
    </row>
    <row r="124" spans="1:2">
      <c r="A124" s="2">
        <v>45924</v>
      </c>
      <c r="B124" s="3">
        <v>63.849999999999994</v>
      </c>
    </row>
    <row r="125" spans="1:2">
      <c r="A125" s="2">
        <v>45929</v>
      </c>
      <c r="B125" s="3">
        <v>288.64999999999998</v>
      </c>
    </row>
    <row r="126" spans="1:2">
      <c r="A126" s="2">
        <v>45930</v>
      </c>
      <c r="B126" s="3">
        <v>423.6</v>
      </c>
    </row>
    <row r="127" spans="1:2">
      <c r="A127" s="2">
        <v>45932</v>
      </c>
      <c r="B127" s="3">
        <v>3191.7</v>
      </c>
    </row>
    <row r="128" spans="1:2">
      <c r="A128" s="2">
        <v>45933</v>
      </c>
      <c r="B128" s="3">
        <v>12.64</v>
      </c>
    </row>
    <row r="129" spans="1:2">
      <c r="A129" s="2">
        <v>45939</v>
      </c>
      <c r="B129" s="3">
        <v>270.64999999999998</v>
      </c>
    </row>
    <row r="130" spans="1:2">
      <c r="A130" s="2">
        <v>45940</v>
      </c>
      <c r="B130" s="3">
        <v>3434.09</v>
      </c>
    </row>
    <row r="131" spans="1:2">
      <c r="A131" s="2">
        <v>45941</v>
      </c>
      <c r="B131" s="3">
        <v>6587.3899999999994</v>
      </c>
    </row>
    <row r="132" spans="1:2">
      <c r="A132" s="2">
        <v>45944</v>
      </c>
      <c r="B132" s="3">
        <v>617.52</v>
      </c>
    </row>
    <row r="133" spans="1:2">
      <c r="A133" s="2">
        <v>45945</v>
      </c>
      <c r="B133" s="3">
        <v>676.23</v>
      </c>
    </row>
    <row r="134" spans="1:2">
      <c r="A134" s="2">
        <v>45949</v>
      </c>
      <c r="B134" s="3">
        <v>722.92</v>
      </c>
    </row>
    <row r="135" spans="1:2">
      <c r="A135" s="2">
        <v>45950</v>
      </c>
      <c r="B135" s="3">
        <v>41.4</v>
      </c>
    </row>
    <row r="136" spans="1:2">
      <c r="A136" s="2">
        <v>45954</v>
      </c>
      <c r="B136" s="3">
        <v>1297.2</v>
      </c>
    </row>
    <row r="137" spans="1:2">
      <c r="A137" s="2">
        <v>45955</v>
      </c>
      <c r="B137" s="3">
        <v>1048.8399999999999</v>
      </c>
    </row>
    <row r="138" spans="1:2">
      <c r="A138" s="2">
        <v>45956</v>
      </c>
      <c r="B138" s="3">
        <v>1947.92</v>
      </c>
    </row>
    <row r="139" spans="1:2">
      <c r="A139" s="2">
        <v>45957</v>
      </c>
      <c r="B139" s="3">
        <v>4050.0099999999998</v>
      </c>
    </row>
    <row r="140" spans="1:2">
      <c r="A140" s="2">
        <v>45959</v>
      </c>
      <c r="B140" s="3">
        <v>2422.7199999999998</v>
      </c>
    </row>
    <row r="141" spans="1:2">
      <c r="A141" s="2">
        <v>45961</v>
      </c>
      <c r="B141" s="3">
        <v>356.96</v>
      </c>
    </row>
    <row r="142" spans="1:2">
      <c r="A142" s="2">
        <v>45964</v>
      </c>
      <c r="B142" s="3">
        <v>843.94</v>
      </c>
    </row>
    <row r="143" spans="1:2">
      <c r="A143" s="2">
        <v>45965</v>
      </c>
      <c r="B143" s="3">
        <v>211.36</v>
      </c>
    </row>
    <row r="144" spans="1:2">
      <c r="A144" s="2">
        <v>45967</v>
      </c>
      <c r="B144" s="3">
        <v>524.66999999999996</v>
      </c>
    </row>
    <row r="145" spans="1:2">
      <c r="A145" s="2">
        <v>45968</v>
      </c>
      <c r="B145" s="3">
        <v>778.47</v>
      </c>
    </row>
    <row r="146" spans="1:2">
      <c r="A146" s="2">
        <v>45970</v>
      </c>
      <c r="B146" s="3">
        <v>825.96</v>
      </c>
    </row>
    <row r="147" spans="1:2">
      <c r="A147" s="2">
        <v>45975</v>
      </c>
      <c r="B147" s="3">
        <v>1051.54</v>
      </c>
    </row>
    <row r="148" spans="1:2">
      <c r="A148" s="2">
        <v>45976</v>
      </c>
      <c r="B148" s="3">
        <v>2361.7600000000002</v>
      </c>
    </row>
    <row r="149" spans="1:2">
      <c r="A149" s="2">
        <v>45979</v>
      </c>
      <c r="B149" s="3">
        <v>2871.8399999999997</v>
      </c>
    </row>
    <row r="150" spans="1:2">
      <c r="A150" s="2">
        <v>45980</v>
      </c>
      <c r="B150" s="3">
        <v>50.88</v>
      </c>
    </row>
    <row r="151" spans="1:2">
      <c r="A151" s="2">
        <v>45981</v>
      </c>
      <c r="B151" s="3">
        <v>545.9</v>
      </c>
    </row>
    <row r="152" spans="1:2">
      <c r="A152" s="2">
        <v>45982</v>
      </c>
      <c r="B152" s="3">
        <v>7279.8600000000006</v>
      </c>
    </row>
    <row r="153" spans="1:2">
      <c r="A153" s="2">
        <v>45983</v>
      </c>
      <c r="B153" s="3">
        <v>994</v>
      </c>
    </row>
    <row r="154" spans="1:2">
      <c r="A154" s="2">
        <v>45987</v>
      </c>
      <c r="B154" s="3">
        <v>2102.73</v>
      </c>
    </row>
    <row r="155" spans="1:2">
      <c r="A155" s="2">
        <v>45988</v>
      </c>
      <c r="B155" s="3">
        <v>2183.7399999999998</v>
      </c>
    </row>
    <row r="156" spans="1:2">
      <c r="A156" s="2">
        <v>45989</v>
      </c>
      <c r="B156" s="3">
        <v>9.6199999999999992</v>
      </c>
    </row>
    <row r="157" spans="1:2">
      <c r="A157" s="2">
        <v>45992</v>
      </c>
      <c r="B157" s="3">
        <v>1411.85</v>
      </c>
    </row>
    <row r="158" spans="1:2">
      <c r="A158" s="2">
        <v>45995</v>
      </c>
      <c r="B158" s="3">
        <v>211.85000000000002</v>
      </c>
    </row>
    <row r="159" spans="1:2">
      <c r="A159" s="2">
        <v>45996</v>
      </c>
      <c r="B159" s="3">
        <v>6747.1</v>
      </c>
    </row>
    <row r="160" spans="1:2">
      <c r="A160" s="2">
        <v>45997</v>
      </c>
      <c r="B160" s="3">
        <v>557.76</v>
      </c>
    </row>
    <row r="161" spans="1:2">
      <c r="A161" s="2">
        <v>45998</v>
      </c>
      <c r="B161" s="3">
        <v>1534.26</v>
      </c>
    </row>
    <row r="162" spans="1:2">
      <c r="A162" s="2">
        <v>46000</v>
      </c>
      <c r="B162" s="3">
        <v>2265.2399999999998</v>
      </c>
    </row>
    <row r="163" spans="1:2">
      <c r="A163" s="2">
        <v>46001</v>
      </c>
      <c r="B163" s="3">
        <v>1561.2</v>
      </c>
    </row>
    <row r="164" spans="1:2">
      <c r="A164" s="2">
        <v>46002</v>
      </c>
      <c r="B164" s="3">
        <v>139.44</v>
      </c>
    </row>
    <row r="165" spans="1:2">
      <c r="A165" s="2">
        <v>46005</v>
      </c>
      <c r="B165" s="3">
        <v>134.31</v>
      </c>
    </row>
    <row r="166" spans="1:2">
      <c r="A166" s="2">
        <v>46013</v>
      </c>
      <c r="B166" s="3">
        <v>51.78</v>
      </c>
    </row>
    <row r="167" spans="1:2">
      <c r="A167" s="2">
        <v>46014</v>
      </c>
      <c r="B167" s="3">
        <v>82.38</v>
      </c>
    </row>
    <row r="168" spans="1:2">
      <c r="A168" s="2">
        <v>46016</v>
      </c>
      <c r="B168" s="3">
        <v>150.56</v>
      </c>
    </row>
    <row r="169" spans="1:2">
      <c r="A169" s="2">
        <v>46017</v>
      </c>
      <c r="B169" s="3">
        <v>37.479999999999997</v>
      </c>
    </row>
    <row r="170" spans="1:2">
      <c r="A170" s="2">
        <v>46018</v>
      </c>
      <c r="B170" s="3">
        <v>275.04000000000002</v>
      </c>
    </row>
    <row r="171" spans="1:2">
      <c r="A171" s="2">
        <v>46019</v>
      </c>
      <c r="B171" s="3">
        <v>2344.2999999999997</v>
      </c>
    </row>
    <row r="172" spans="1:2">
      <c r="A172" s="2">
        <v>46020</v>
      </c>
      <c r="B172" s="3">
        <v>1186</v>
      </c>
    </row>
    <row r="173" spans="1:2">
      <c r="A173" s="2" t="s">
        <v>6</v>
      </c>
      <c r="B173" s="3">
        <v>199675.07000000004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1C5A-CD21-4B9F-A809-F2F6EB8B1AA4}">
  <dimension ref="A3:C20"/>
  <sheetViews>
    <sheetView workbookViewId="0">
      <selection activeCell="A3" sqref="A3"/>
    </sheetView>
  </sheetViews>
  <sheetFormatPr defaultRowHeight="14.2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D67E-67FE-46F9-AE56-CEB64C757E5A}">
  <dimension ref="A3:C20"/>
  <sheetViews>
    <sheetView workbookViewId="0">
      <selection activeCell="A3" sqref="A3"/>
    </sheetView>
  </sheetViews>
  <sheetFormatPr defaultRowHeight="14.2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0486-694C-4B99-8921-4062985A0F3A}">
  <dimension ref="A3:B16"/>
  <sheetViews>
    <sheetView workbookViewId="0">
      <selection activeCell="J9" sqref="J9"/>
    </sheetView>
  </sheetViews>
  <sheetFormatPr defaultRowHeight="14.25"/>
  <cols>
    <col min="1" max="1" width="11.375" bestFit="1" customWidth="1"/>
    <col min="2" max="2" width="15.5" bestFit="1" customWidth="1"/>
  </cols>
  <sheetData>
    <row r="3" spans="1:2">
      <c r="A3" s="6" t="s">
        <v>14</v>
      </c>
      <c r="B3" t="s">
        <v>13</v>
      </c>
    </row>
    <row r="4" spans="1:2">
      <c r="A4" t="s">
        <v>15</v>
      </c>
      <c r="B4">
        <v>7728.1400000000012</v>
      </c>
    </row>
    <row r="5" spans="1:2">
      <c r="A5" t="s">
        <v>16</v>
      </c>
      <c r="B5">
        <v>15063.79</v>
      </c>
    </row>
    <row r="6" spans="1:2">
      <c r="A6" t="s">
        <v>17</v>
      </c>
      <c r="B6">
        <v>17203.55</v>
      </c>
    </row>
    <row r="7" spans="1:2">
      <c r="A7" t="s">
        <v>18</v>
      </c>
      <c r="B7">
        <v>21495.840000000004</v>
      </c>
    </row>
    <row r="8" spans="1:2">
      <c r="A8" t="s">
        <v>19</v>
      </c>
      <c r="B8">
        <v>21373.399999999994</v>
      </c>
    </row>
    <row r="9" spans="1:2">
      <c r="A9" t="s">
        <v>20</v>
      </c>
      <c r="B9">
        <v>6418.34</v>
      </c>
    </row>
    <row r="10" spans="1:2">
      <c r="A10" t="s">
        <v>21</v>
      </c>
      <c r="B10">
        <v>18026.330000000002</v>
      </c>
    </row>
    <row r="11" spans="1:2">
      <c r="A11" t="s">
        <v>22</v>
      </c>
      <c r="B11">
        <v>18921.7</v>
      </c>
    </row>
    <row r="12" spans="1:2">
      <c r="A12" t="s">
        <v>23</v>
      </c>
      <c r="B12">
        <v>5438.9699999999993</v>
      </c>
    </row>
    <row r="13" spans="1:2">
      <c r="A13" t="s">
        <v>24</v>
      </c>
      <c r="B13">
        <v>26678.189999999991</v>
      </c>
    </row>
    <row r="14" spans="1:2">
      <c r="A14" t="s">
        <v>25</v>
      </c>
      <c r="B14">
        <v>22636.27</v>
      </c>
    </row>
    <row r="15" spans="1:2">
      <c r="A15" t="s">
        <v>26</v>
      </c>
      <c r="B15">
        <v>18690.550000000007</v>
      </c>
    </row>
    <row r="16" spans="1:2">
      <c r="A16" t="s">
        <v>6</v>
      </c>
      <c r="B16">
        <v>199675.07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zoomScaleNormal="100" zoomScaleSheetLayoutView="100" workbookViewId="0">
      <selection activeCell="K1" sqref="K1"/>
    </sheetView>
  </sheetViews>
  <sheetFormatPr defaultRowHeight="15"/>
  <cols>
    <col min="1" max="1" width="14" customWidth="1"/>
    <col min="2" max="2" width="10.5" customWidth="1"/>
    <col min="3" max="3" width="5.875" customWidth="1"/>
    <col min="4" max="5" width="20" customWidth="1"/>
    <col min="6" max="6" width="7.25" customWidth="1"/>
    <col min="7" max="7" width="8" customWidth="1"/>
    <col min="8" max="8" width="7.125" customWidth="1"/>
  </cols>
  <sheetData>
    <row r="1" spans="1:12">
      <c r="A1" s="1" t="s">
        <v>27</v>
      </c>
      <c r="B1" s="1" t="s">
        <v>12</v>
      </c>
      <c r="C1" s="1" t="s">
        <v>0</v>
      </c>
      <c r="D1" s="1" t="s">
        <v>7</v>
      </c>
      <c r="E1" s="1" t="s">
        <v>28</v>
      </c>
      <c r="F1" s="1" t="s">
        <v>29</v>
      </c>
      <c r="G1" s="1" t="s">
        <v>30</v>
      </c>
      <c r="H1" s="1" t="s">
        <v>31</v>
      </c>
      <c r="I1" t="s">
        <v>14</v>
      </c>
      <c r="K1" t="s">
        <v>14</v>
      </c>
      <c r="L1" t="s">
        <v>31</v>
      </c>
    </row>
    <row r="2" spans="1:12">
      <c r="A2" t="s">
        <v>32</v>
      </c>
      <c r="B2" s="2">
        <v>45783</v>
      </c>
      <c r="C2" t="s">
        <v>3</v>
      </c>
      <c r="D2" t="s">
        <v>11</v>
      </c>
      <c r="E2" t="s">
        <v>33</v>
      </c>
      <c r="F2">
        <v>1</v>
      </c>
      <c r="G2" s="3">
        <v>899.28</v>
      </c>
      <c r="H2" s="3">
        <f>F2*G2</f>
        <v>899.28</v>
      </c>
      <c r="I2" t="str">
        <f t="shared" ref="I2:I65" si="0">TEXT(B2,"mmm")</f>
        <v>May</v>
      </c>
      <c r="K2" t="s">
        <v>15</v>
      </c>
      <c r="L2">
        <f>SUMIF($I$2:$I$241,K2,$H$2:$H$241)</f>
        <v>7728.1400000000012</v>
      </c>
    </row>
    <row r="3" spans="1:12">
      <c r="A3" t="s">
        <v>34</v>
      </c>
      <c r="B3" s="2">
        <v>45674</v>
      </c>
      <c r="C3" t="s">
        <v>2</v>
      </c>
      <c r="D3" t="s">
        <v>9</v>
      </c>
      <c r="E3" t="s">
        <v>35</v>
      </c>
      <c r="F3">
        <v>2</v>
      </c>
      <c r="G3" s="3">
        <v>189.02</v>
      </c>
      <c r="H3" s="3">
        <f>F3*G3</f>
        <v>378.04</v>
      </c>
      <c r="I3" t="str">
        <f t="shared" si="0"/>
        <v>Jan</v>
      </c>
      <c r="K3" t="s">
        <v>16</v>
      </c>
      <c r="L3">
        <f t="shared" ref="L3:L41" si="1">SUMIF($I$2:$I$241,K3,$H$2:$H$241)</f>
        <v>15063.79</v>
      </c>
    </row>
    <row r="4" spans="1:12">
      <c r="A4" t="s">
        <v>36</v>
      </c>
      <c r="B4" s="2">
        <v>45671</v>
      </c>
      <c r="C4" t="s">
        <v>3</v>
      </c>
      <c r="D4" t="s">
        <v>9</v>
      </c>
      <c r="E4" t="s">
        <v>37</v>
      </c>
      <c r="F4">
        <v>4</v>
      </c>
      <c r="G4" s="3">
        <v>320.41000000000003</v>
      </c>
      <c r="H4" s="3">
        <f>F4*G4</f>
        <v>1281.6400000000001</v>
      </c>
      <c r="I4" t="str">
        <f t="shared" si="0"/>
        <v>Jan</v>
      </c>
      <c r="K4" t="s">
        <v>17</v>
      </c>
      <c r="L4">
        <f t="shared" si="1"/>
        <v>17203.55</v>
      </c>
    </row>
    <row r="5" spans="1:12">
      <c r="A5" t="s">
        <v>38</v>
      </c>
      <c r="B5" s="2">
        <v>45800</v>
      </c>
      <c r="C5" t="s">
        <v>2</v>
      </c>
      <c r="D5" t="s">
        <v>11</v>
      </c>
      <c r="E5" t="s">
        <v>39</v>
      </c>
      <c r="F5">
        <v>4</v>
      </c>
      <c r="G5" s="3">
        <v>187.68</v>
      </c>
      <c r="H5" s="3">
        <f>F5*G5</f>
        <v>750.72</v>
      </c>
      <c r="I5" t="str">
        <f t="shared" si="0"/>
        <v>May</v>
      </c>
      <c r="K5" t="s">
        <v>18</v>
      </c>
      <c r="L5">
        <f t="shared" si="1"/>
        <v>21495.840000000004</v>
      </c>
    </row>
    <row r="6" spans="1:12">
      <c r="A6" t="s">
        <v>40</v>
      </c>
      <c r="B6" s="2">
        <v>45768</v>
      </c>
      <c r="C6" t="s">
        <v>4</v>
      </c>
      <c r="D6" t="s">
        <v>9</v>
      </c>
      <c r="E6" t="s">
        <v>41</v>
      </c>
      <c r="F6">
        <v>6</v>
      </c>
      <c r="G6" s="3">
        <v>260.33999999999997</v>
      </c>
      <c r="H6" s="3">
        <f>F6*G6</f>
        <v>1562.04</v>
      </c>
      <c r="I6" t="str">
        <f t="shared" si="0"/>
        <v>Apr</v>
      </c>
      <c r="K6" t="s">
        <v>19</v>
      </c>
      <c r="L6">
        <f t="shared" si="1"/>
        <v>21373.399999999994</v>
      </c>
    </row>
    <row r="7" spans="1:12">
      <c r="A7" t="s">
        <v>42</v>
      </c>
      <c r="B7" s="2">
        <v>45834</v>
      </c>
      <c r="C7" t="s">
        <v>4</v>
      </c>
      <c r="D7" t="s">
        <v>9</v>
      </c>
      <c r="E7" t="s">
        <v>35</v>
      </c>
      <c r="F7">
        <v>7</v>
      </c>
      <c r="G7" s="3">
        <v>167.09</v>
      </c>
      <c r="H7" s="3">
        <f>F7*G7</f>
        <v>1169.6300000000001</v>
      </c>
      <c r="I7" t="str">
        <f t="shared" si="0"/>
        <v>Jun</v>
      </c>
      <c r="K7" t="s">
        <v>20</v>
      </c>
      <c r="L7">
        <f t="shared" si="1"/>
        <v>6418.34</v>
      </c>
    </row>
    <row r="8" spans="1:12">
      <c r="A8" t="s">
        <v>43</v>
      </c>
      <c r="B8" s="2">
        <v>45851</v>
      </c>
      <c r="C8" t="s">
        <v>2</v>
      </c>
      <c r="D8" t="s">
        <v>9</v>
      </c>
      <c r="E8" t="s">
        <v>41</v>
      </c>
      <c r="F8">
        <v>2</v>
      </c>
      <c r="G8" s="3">
        <v>306.23</v>
      </c>
      <c r="H8" s="3">
        <f>F8*G8</f>
        <v>612.46</v>
      </c>
      <c r="I8" t="str">
        <f t="shared" si="0"/>
        <v>Jul</v>
      </c>
      <c r="K8" t="s">
        <v>21</v>
      </c>
      <c r="L8">
        <f t="shared" si="1"/>
        <v>18026.330000000002</v>
      </c>
    </row>
    <row r="9" spans="1:12">
      <c r="A9" t="s">
        <v>44</v>
      </c>
      <c r="B9" s="2">
        <v>46018</v>
      </c>
      <c r="C9" t="s">
        <v>2</v>
      </c>
      <c r="D9" t="s">
        <v>11</v>
      </c>
      <c r="E9" t="s">
        <v>45</v>
      </c>
      <c r="F9">
        <v>6</v>
      </c>
      <c r="G9" s="3">
        <v>45.84</v>
      </c>
      <c r="H9" s="3">
        <f>F9*G9</f>
        <v>275.04000000000002</v>
      </c>
      <c r="I9" t="str">
        <f t="shared" si="0"/>
        <v>Dec</v>
      </c>
      <c r="K9" t="s">
        <v>22</v>
      </c>
      <c r="L9">
        <f t="shared" si="1"/>
        <v>18921.7</v>
      </c>
    </row>
    <row r="10" spans="1:12">
      <c r="A10" t="s">
        <v>46</v>
      </c>
      <c r="B10" s="2">
        <v>45777</v>
      </c>
      <c r="C10" t="s">
        <v>2</v>
      </c>
      <c r="D10" t="s">
        <v>9</v>
      </c>
      <c r="E10" t="s">
        <v>37</v>
      </c>
      <c r="F10">
        <v>5</v>
      </c>
      <c r="G10" s="3">
        <v>357.27</v>
      </c>
      <c r="H10" s="3">
        <f>F10*G10</f>
        <v>1786.35</v>
      </c>
      <c r="I10" t="str">
        <f t="shared" si="0"/>
        <v>Apr</v>
      </c>
      <c r="K10" t="s">
        <v>23</v>
      </c>
      <c r="L10">
        <f t="shared" si="1"/>
        <v>5438.9699999999993</v>
      </c>
    </row>
    <row r="11" spans="1:12">
      <c r="A11" t="s">
        <v>47</v>
      </c>
      <c r="B11" s="2">
        <v>45844</v>
      </c>
      <c r="C11" t="s">
        <v>3</v>
      </c>
      <c r="D11" t="s">
        <v>10</v>
      </c>
      <c r="E11" t="s">
        <v>48</v>
      </c>
      <c r="F11">
        <v>8</v>
      </c>
      <c r="G11" s="3">
        <v>9.2899999999999991</v>
      </c>
      <c r="H11" s="3">
        <f>F11*G11</f>
        <v>74.319999999999993</v>
      </c>
      <c r="I11" t="str">
        <f t="shared" si="0"/>
        <v>Jul</v>
      </c>
      <c r="K11" t="s">
        <v>24</v>
      </c>
      <c r="L11">
        <f t="shared" si="1"/>
        <v>26678.189999999991</v>
      </c>
    </row>
    <row r="12" spans="1:12">
      <c r="A12" t="s">
        <v>49</v>
      </c>
      <c r="B12" s="2">
        <v>46017</v>
      </c>
      <c r="C12" t="s">
        <v>2</v>
      </c>
      <c r="D12" t="s">
        <v>10</v>
      </c>
      <c r="E12" t="s">
        <v>48</v>
      </c>
      <c r="F12">
        <v>4</v>
      </c>
      <c r="G12" s="3">
        <v>9.3699999999999992</v>
      </c>
      <c r="H12" s="3">
        <f>F12*G12</f>
        <v>37.479999999999997</v>
      </c>
      <c r="I12" t="str">
        <f t="shared" si="0"/>
        <v>Dec</v>
      </c>
      <c r="K12" t="s">
        <v>25</v>
      </c>
      <c r="L12">
        <f t="shared" si="1"/>
        <v>22636.27</v>
      </c>
    </row>
    <row r="13" spans="1:12">
      <c r="A13" t="s">
        <v>50</v>
      </c>
      <c r="B13" s="2">
        <v>45852</v>
      </c>
      <c r="C13" t="s">
        <v>4</v>
      </c>
      <c r="D13" t="s">
        <v>11</v>
      </c>
      <c r="E13" t="s">
        <v>51</v>
      </c>
      <c r="F13">
        <v>4</v>
      </c>
      <c r="G13" s="3">
        <v>239</v>
      </c>
      <c r="H13" s="3">
        <f>F13*G13</f>
        <v>956</v>
      </c>
      <c r="I13" t="str">
        <f t="shared" si="0"/>
        <v>Jul</v>
      </c>
      <c r="K13" t="s">
        <v>26</v>
      </c>
      <c r="L13">
        <f t="shared" si="1"/>
        <v>18690.550000000007</v>
      </c>
    </row>
    <row r="14" spans="1:12">
      <c r="A14" t="s">
        <v>52</v>
      </c>
      <c r="B14" s="2">
        <v>45686</v>
      </c>
      <c r="C14" t="s">
        <v>3</v>
      </c>
      <c r="D14" t="s">
        <v>11</v>
      </c>
      <c r="E14" t="s">
        <v>51</v>
      </c>
      <c r="F14">
        <v>6</v>
      </c>
      <c r="G14" s="3">
        <v>281.39</v>
      </c>
      <c r="H14" s="3">
        <f>F14*G14</f>
        <v>1688.34</v>
      </c>
      <c r="I14" t="str">
        <f t="shared" si="0"/>
        <v>Jan</v>
      </c>
      <c r="K14" t="s">
        <v>15</v>
      </c>
      <c r="L14">
        <f t="shared" si="1"/>
        <v>7728.1400000000012</v>
      </c>
    </row>
    <row r="15" spans="1:12">
      <c r="A15" t="s">
        <v>53</v>
      </c>
      <c r="B15" s="2">
        <v>45766</v>
      </c>
      <c r="C15" t="s">
        <v>4</v>
      </c>
      <c r="D15" t="s">
        <v>9</v>
      </c>
      <c r="E15" t="s">
        <v>54</v>
      </c>
      <c r="F15">
        <v>7</v>
      </c>
      <c r="G15" s="3">
        <v>226.62</v>
      </c>
      <c r="H15" s="3">
        <f>F15*G15</f>
        <v>1586.3400000000001</v>
      </c>
      <c r="I15" t="str">
        <f t="shared" si="0"/>
        <v>Apr</v>
      </c>
      <c r="K15" t="s">
        <v>16</v>
      </c>
      <c r="L15">
        <f t="shared" si="1"/>
        <v>15063.79</v>
      </c>
    </row>
    <row r="16" spans="1:12">
      <c r="A16" t="s">
        <v>55</v>
      </c>
      <c r="B16" s="2">
        <v>45987</v>
      </c>
      <c r="C16" t="s">
        <v>5</v>
      </c>
      <c r="D16" t="s">
        <v>9</v>
      </c>
      <c r="E16" t="s">
        <v>41</v>
      </c>
      <c r="F16">
        <v>7</v>
      </c>
      <c r="G16" s="3">
        <v>300.39</v>
      </c>
      <c r="H16" s="3">
        <f>F16*G16</f>
        <v>2102.73</v>
      </c>
      <c r="I16" t="str">
        <f t="shared" si="0"/>
        <v>Nov</v>
      </c>
      <c r="K16" t="s">
        <v>17</v>
      </c>
      <c r="L16">
        <f t="shared" si="1"/>
        <v>17203.55</v>
      </c>
    </row>
    <row r="17" spans="1:12">
      <c r="A17" t="s">
        <v>56</v>
      </c>
      <c r="B17" s="2">
        <v>45945</v>
      </c>
      <c r="C17" t="s">
        <v>4</v>
      </c>
      <c r="D17" t="s">
        <v>9</v>
      </c>
      <c r="E17" t="s">
        <v>54</v>
      </c>
      <c r="F17">
        <v>3</v>
      </c>
      <c r="G17" s="3">
        <v>225.41</v>
      </c>
      <c r="H17" s="3">
        <f>F17*G17</f>
        <v>676.23</v>
      </c>
      <c r="I17" t="str">
        <f t="shared" si="0"/>
        <v>Oct</v>
      </c>
      <c r="K17" t="s">
        <v>18</v>
      </c>
      <c r="L17">
        <f t="shared" si="1"/>
        <v>21495.840000000004</v>
      </c>
    </row>
    <row r="18" spans="1:12">
      <c r="A18" t="s">
        <v>57</v>
      </c>
      <c r="B18" s="2">
        <v>45728</v>
      </c>
      <c r="C18" t="s">
        <v>5</v>
      </c>
      <c r="D18" t="s">
        <v>11</v>
      </c>
      <c r="E18" t="s">
        <v>39</v>
      </c>
      <c r="F18">
        <v>7</v>
      </c>
      <c r="G18" s="3">
        <v>183.71</v>
      </c>
      <c r="H18" s="3">
        <f>F18*G18</f>
        <v>1285.97</v>
      </c>
      <c r="I18" t="str">
        <f t="shared" si="0"/>
        <v>Mar</v>
      </c>
      <c r="K18" t="s">
        <v>19</v>
      </c>
      <c r="L18">
        <f t="shared" si="1"/>
        <v>21373.399999999994</v>
      </c>
    </row>
    <row r="19" spans="1:12">
      <c r="A19" t="s">
        <v>58</v>
      </c>
      <c r="B19" s="2">
        <v>45739</v>
      </c>
      <c r="C19" t="s">
        <v>5</v>
      </c>
      <c r="D19" t="s">
        <v>9</v>
      </c>
      <c r="E19" t="s">
        <v>35</v>
      </c>
      <c r="F19">
        <v>2</v>
      </c>
      <c r="G19" s="3">
        <v>169.59</v>
      </c>
      <c r="H19" s="3">
        <f>F19*G19</f>
        <v>339.18</v>
      </c>
      <c r="I19" t="str">
        <f t="shared" si="0"/>
        <v>Mar</v>
      </c>
      <c r="K19" t="s">
        <v>20</v>
      </c>
      <c r="L19">
        <f t="shared" si="1"/>
        <v>6418.34</v>
      </c>
    </row>
    <row r="20" spans="1:12">
      <c r="A20" t="s">
        <v>59</v>
      </c>
      <c r="B20" s="2">
        <v>45897</v>
      </c>
      <c r="C20" t="s">
        <v>4</v>
      </c>
      <c r="D20" t="s">
        <v>11</v>
      </c>
      <c r="E20" t="s">
        <v>33</v>
      </c>
      <c r="F20">
        <v>7</v>
      </c>
      <c r="G20" s="3">
        <v>825.85</v>
      </c>
      <c r="H20" s="3">
        <f>F20*G20</f>
        <v>5780.95</v>
      </c>
      <c r="I20" t="str">
        <f t="shared" si="0"/>
        <v>Aug</v>
      </c>
      <c r="K20" t="s">
        <v>21</v>
      </c>
      <c r="L20">
        <f t="shared" si="1"/>
        <v>18026.330000000002</v>
      </c>
    </row>
    <row r="21" spans="1:12">
      <c r="A21" t="s">
        <v>60</v>
      </c>
      <c r="B21" s="2">
        <v>45932</v>
      </c>
      <c r="C21" t="s">
        <v>4</v>
      </c>
      <c r="D21" t="s">
        <v>11</v>
      </c>
      <c r="E21" t="s">
        <v>33</v>
      </c>
      <c r="F21">
        <v>2</v>
      </c>
      <c r="G21" s="3">
        <v>887.07</v>
      </c>
      <c r="H21" s="3">
        <f>F21*G21</f>
        <v>1774.14</v>
      </c>
      <c r="I21" t="str">
        <f t="shared" si="0"/>
        <v>Oct</v>
      </c>
      <c r="K21" t="s">
        <v>22</v>
      </c>
      <c r="L21">
        <f t="shared" si="1"/>
        <v>18921.7</v>
      </c>
    </row>
    <row r="22" spans="1:12">
      <c r="A22" t="s">
        <v>61</v>
      </c>
      <c r="B22" s="2">
        <v>45738</v>
      </c>
      <c r="C22" t="s">
        <v>5</v>
      </c>
      <c r="D22" t="s">
        <v>11</v>
      </c>
      <c r="E22" t="s">
        <v>45</v>
      </c>
      <c r="F22">
        <v>2</v>
      </c>
      <c r="G22" s="3">
        <v>42.77</v>
      </c>
      <c r="H22" s="3">
        <f>F22*G22</f>
        <v>85.54</v>
      </c>
      <c r="I22" t="str">
        <f t="shared" si="0"/>
        <v>Mar</v>
      </c>
      <c r="K22" t="s">
        <v>23</v>
      </c>
      <c r="L22">
        <f t="shared" si="1"/>
        <v>5438.9699999999993</v>
      </c>
    </row>
    <row r="23" spans="1:12">
      <c r="A23" t="s">
        <v>62</v>
      </c>
      <c r="B23" s="2">
        <v>45712</v>
      </c>
      <c r="C23" t="s">
        <v>4</v>
      </c>
      <c r="D23" t="s">
        <v>9</v>
      </c>
      <c r="E23" t="s">
        <v>54</v>
      </c>
      <c r="F23">
        <v>3</v>
      </c>
      <c r="G23" s="3">
        <v>240.44</v>
      </c>
      <c r="H23" s="3">
        <f>F23*G23</f>
        <v>721.31999999999994</v>
      </c>
      <c r="I23" t="str">
        <f t="shared" si="0"/>
        <v>Feb</v>
      </c>
      <c r="K23" t="s">
        <v>24</v>
      </c>
      <c r="L23">
        <f t="shared" si="1"/>
        <v>26678.189999999991</v>
      </c>
    </row>
    <row r="24" spans="1:12">
      <c r="A24" t="s">
        <v>63</v>
      </c>
      <c r="B24" s="2">
        <v>45740</v>
      </c>
      <c r="C24" t="s">
        <v>2</v>
      </c>
      <c r="D24" t="s">
        <v>11</v>
      </c>
      <c r="E24" t="s">
        <v>51</v>
      </c>
      <c r="F24">
        <v>3</v>
      </c>
      <c r="G24" s="3">
        <v>252.13</v>
      </c>
      <c r="H24" s="3">
        <f>F24*G24</f>
        <v>756.39</v>
      </c>
      <c r="I24" t="str">
        <f t="shared" si="0"/>
        <v>Mar</v>
      </c>
      <c r="K24" t="s">
        <v>25</v>
      </c>
      <c r="L24">
        <f t="shared" si="1"/>
        <v>22636.27</v>
      </c>
    </row>
    <row r="25" spans="1:12">
      <c r="A25" t="s">
        <v>64</v>
      </c>
      <c r="B25" s="2">
        <v>45843</v>
      </c>
      <c r="C25" t="s">
        <v>4</v>
      </c>
      <c r="D25" t="s">
        <v>11</v>
      </c>
      <c r="E25" t="s">
        <v>45</v>
      </c>
      <c r="F25">
        <v>8</v>
      </c>
      <c r="G25" s="3">
        <v>39.81</v>
      </c>
      <c r="H25" s="3">
        <f>F25*G25</f>
        <v>318.48</v>
      </c>
      <c r="I25" t="str">
        <f t="shared" si="0"/>
        <v>Jul</v>
      </c>
      <c r="K25" t="s">
        <v>26</v>
      </c>
      <c r="L25">
        <f t="shared" si="1"/>
        <v>18690.550000000007</v>
      </c>
    </row>
    <row r="26" spans="1:12">
      <c r="A26" t="s">
        <v>65</v>
      </c>
      <c r="B26" s="2">
        <v>45698</v>
      </c>
      <c r="C26" t="s">
        <v>2</v>
      </c>
      <c r="D26" t="s">
        <v>9</v>
      </c>
      <c r="E26" t="s">
        <v>35</v>
      </c>
      <c r="F26">
        <v>4</v>
      </c>
      <c r="G26" s="3">
        <v>201.78</v>
      </c>
      <c r="H26" s="3">
        <f>F26*G26</f>
        <v>807.12</v>
      </c>
      <c r="I26" t="str">
        <f t="shared" si="0"/>
        <v>Feb</v>
      </c>
      <c r="K26" t="s">
        <v>15</v>
      </c>
      <c r="L26">
        <f t="shared" si="1"/>
        <v>7728.1400000000012</v>
      </c>
    </row>
    <row r="27" spans="1:12">
      <c r="A27" t="s">
        <v>66</v>
      </c>
      <c r="B27" s="2">
        <v>45930</v>
      </c>
      <c r="C27" t="s">
        <v>3</v>
      </c>
      <c r="D27" t="s">
        <v>11</v>
      </c>
      <c r="E27" t="s">
        <v>39</v>
      </c>
      <c r="F27">
        <v>2</v>
      </c>
      <c r="G27" s="3">
        <v>211.8</v>
      </c>
      <c r="H27" s="3">
        <f>F27*G27</f>
        <v>423.6</v>
      </c>
      <c r="I27" t="str">
        <f t="shared" si="0"/>
        <v>Sep</v>
      </c>
      <c r="K27" t="s">
        <v>16</v>
      </c>
      <c r="L27">
        <f t="shared" si="1"/>
        <v>15063.79</v>
      </c>
    </row>
    <row r="28" spans="1:12">
      <c r="A28" t="s">
        <v>67</v>
      </c>
      <c r="B28" s="2">
        <v>45968</v>
      </c>
      <c r="C28" t="s">
        <v>5</v>
      </c>
      <c r="D28" t="s">
        <v>9</v>
      </c>
      <c r="E28" t="s">
        <v>41</v>
      </c>
      <c r="F28">
        <v>3</v>
      </c>
      <c r="G28" s="3">
        <v>259.49</v>
      </c>
      <c r="H28" s="3">
        <f>F28*G28</f>
        <v>778.47</v>
      </c>
      <c r="I28" t="str">
        <f t="shared" si="0"/>
        <v>Nov</v>
      </c>
      <c r="K28" t="s">
        <v>17</v>
      </c>
      <c r="L28">
        <f t="shared" si="1"/>
        <v>17203.55</v>
      </c>
    </row>
    <row r="29" spans="1:12">
      <c r="A29" t="s">
        <v>68</v>
      </c>
      <c r="B29" s="2">
        <v>46001</v>
      </c>
      <c r="C29" t="s">
        <v>4</v>
      </c>
      <c r="D29" t="s">
        <v>9</v>
      </c>
      <c r="E29" t="s">
        <v>37</v>
      </c>
      <c r="F29">
        <v>5</v>
      </c>
      <c r="G29" s="3">
        <v>312.24</v>
      </c>
      <c r="H29" s="3">
        <f>F29*G29</f>
        <v>1561.2</v>
      </c>
      <c r="I29" t="str">
        <f t="shared" si="0"/>
        <v>Dec</v>
      </c>
      <c r="K29" t="s">
        <v>18</v>
      </c>
      <c r="L29">
        <f t="shared" si="1"/>
        <v>21495.840000000004</v>
      </c>
    </row>
    <row r="30" spans="1:12">
      <c r="A30" t="s">
        <v>69</v>
      </c>
      <c r="B30" s="2">
        <v>45690</v>
      </c>
      <c r="C30" t="s">
        <v>4</v>
      </c>
      <c r="D30" t="s">
        <v>10</v>
      </c>
      <c r="E30" t="s">
        <v>70</v>
      </c>
      <c r="F30">
        <v>2</v>
      </c>
      <c r="G30" s="3">
        <v>6.58</v>
      </c>
      <c r="H30" s="3">
        <f>F30*G30</f>
        <v>13.16</v>
      </c>
      <c r="I30" t="str">
        <f t="shared" si="0"/>
        <v>Feb</v>
      </c>
      <c r="K30" t="s">
        <v>19</v>
      </c>
      <c r="L30">
        <f t="shared" si="1"/>
        <v>21373.399999999994</v>
      </c>
    </row>
    <row r="31" spans="1:12">
      <c r="A31" t="s">
        <v>71</v>
      </c>
      <c r="B31" s="2">
        <v>46020</v>
      </c>
      <c r="C31" t="s">
        <v>2</v>
      </c>
      <c r="D31" t="s">
        <v>9</v>
      </c>
      <c r="E31" t="s">
        <v>37</v>
      </c>
      <c r="F31">
        <v>4</v>
      </c>
      <c r="G31" s="3">
        <v>282.14999999999998</v>
      </c>
      <c r="H31" s="3">
        <f>F31*G31</f>
        <v>1128.5999999999999</v>
      </c>
      <c r="I31" t="str">
        <f t="shared" si="0"/>
        <v>Dec</v>
      </c>
      <c r="K31" t="s">
        <v>20</v>
      </c>
      <c r="L31">
        <f t="shared" si="1"/>
        <v>6418.34</v>
      </c>
    </row>
    <row r="32" spans="1:12">
      <c r="A32" t="s">
        <v>72</v>
      </c>
      <c r="B32" s="2">
        <v>45694</v>
      </c>
      <c r="C32" t="s">
        <v>3</v>
      </c>
      <c r="D32" t="s">
        <v>9</v>
      </c>
      <c r="E32" t="s">
        <v>35</v>
      </c>
      <c r="F32">
        <v>1</v>
      </c>
      <c r="G32" s="3">
        <v>200.97</v>
      </c>
      <c r="H32" s="3">
        <f>F32*G32</f>
        <v>200.97</v>
      </c>
      <c r="I32" t="str">
        <f t="shared" si="0"/>
        <v>Feb</v>
      </c>
      <c r="K32" t="s">
        <v>21</v>
      </c>
      <c r="L32">
        <f t="shared" si="1"/>
        <v>18026.330000000002</v>
      </c>
    </row>
    <row r="33" spans="1:12">
      <c r="A33" t="s">
        <v>73</v>
      </c>
      <c r="B33" s="2">
        <v>45950</v>
      </c>
      <c r="C33" t="s">
        <v>5</v>
      </c>
      <c r="D33" t="s">
        <v>10</v>
      </c>
      <c r="E33" t="s">
        <v>70</v>
      </c>
      <c r="F33">
        <v>4</v>
      </c>
      <c r="G33" s="3">
        <v>7.07</v>
      </c>
      <c r="H33" s="3">
        <f>F33*G33</f>
        <v>28.28</v>
      </c>
      <c r="I33" t="str">
        <f t="shared" si="0"/>
        <v>Oct</v>
      </c>
      <c r="K33" t="s">
        <v>22</v>
      </c>
      <c r="L33">
        <f t="shared" si="1"/>
        <v>18921.7</v>
      </c>
    </row>
    <row r="34" spans="1:12">
      <c r="A34" t="s">
        <v>74</v>
      </c>
      <c r="B34" s="2">
        <v>45707</v>
      </c>
      <c r="C34" t="s">
        <v>5</v>
      </c>
      <c r="D34" t="s">
        <v>9</v>
      </c>
      <c r="E34" t="s">
        <v>41</v>
      </c>
      <c r="F34">
        <v>7</v>
      </c>
      <c r="G34" s="3">
        <v>254.57</v>
      </c>
      <c r="H34" s="3">
        <f>F34*G34</f>
        <v>1781.99</v>
      </c>
      <c r="I34" t="str">
        <f t="shared" si="0"/>
        <v>Feb</v>
      </c>
      <c r="K34" t="s">
        <v>23</v>
      </c>
      <c r="L34">
        <f t="shared" si="1"/>
        <v>5438.9699999999993</v>
      </c>
    </row>
    <row r="35" spans="1:12">
      <c r="A35" t="s">
        <v>75</v>
      </c>
      <c r="B35" s="2">
        <v>45685</v>
      </c>
      <c r="C35" t="s">
        <v>2</v>
      </c>
      <c r="D35" t="s">
        <v>10</v>
      </c>
      <c r="E35" t="s">
        <v>70</v>
      </c>
      <c r="F35">
        <v>7</v>
      </c>
      <c r="G35" s="3">
        <v>6.94</v>
      </c>
      <c r="H35" s="3">
        <f>F35*G35</f>
        <v>48.580000000000005</v>
      </c>
      <c r="I35" t="str">
        <f t="shared" si="0"/>
        <v>Jan</v>
      </c>
      <c r="K35" t="s">
        <v>24</v>
      </c>
      <c r="L35">
        <f t="shared" si="1"/>
        <v>26678.189999999991</v>
      </c>
    </row>
    <row r="36" spans="1:12">
      <c r="A36" t="s">
        <v>76</v>
      </c>
      <c r="B36" s="2">
        <v>45713</v>
      </c>
      <c r="C36" t="s">
        <v>3</v>
      </c>
      <c r="D36" t="s">
        <v>9</v>
      </c>
      <c r="E36" t="s">
        <v>41</v>
      </c>
      <c r="F36">
        <v>6</v>
      </c>
      <c r="G36" s="3">
        <v>294.83999999999997</v>
      </c>
      <c r="H36" s="3">
        <f>F36*G36</f>
        <v>1769.04</v>
      </c>
      <c r="I36" t="str">
        <f t="shared" si="0"/>
        <v>Feb</v>
      </c>
      <c r="K36" t="s">
        <v>25</v>
      </c>
      <c r="L36">
        <f t="shared" si="1"/>
        <v>22636.27</v>
      </c>
    </row>
    <row r="37" spans="1:12">
      <c r="A37" t="s">
        <v>77</v>
      </c>
      <c r="B37" s="2">
        <v>45751</v>
      </c>
      <c r="C37" t="s">
        <v>4</v>
      </c>
      <c r="D37" t="s">
        <v>9</v>
      </c>
      <c r="E37" t="s">
        <v>37</v>
      </c>
      <c r="F37">
        <v>8</v>
      </c>
      <c r="G37" s="3">
        <v>292.37</v>
      </c>
      <c r="H37" s="3">
        <f>F37*G37</f>
        <v>2338.96</v>
      </c>
      <c r="I37" t="str">
        <f t="shared" si="0"/>
        <v>Apr</v>
      </c>
      <c r="K37" t="s">
        <v>26</v>
      </c>
      <c r="L37">
        <f t="shared" si="1"/>
        <v>18690.550000000007</v>
      </c>
    </row>
    <row r="38" spans="1:12">
      <c r="A38" t="s">
        <v>78</v>
      </c>
      <c r="B38" s="2">
        <v>45939</v>
      </c>
      <c r="C38" t="s">
        <v>2</v>
      </c>
      <c r="D38" t="s">
        <v>10</v>
      </c>
      <c r="E38" t="s">
        <v>79</v>
      </c>
      <c r="F38">
        <v>2</v>
      </c>
      <c r="G38" s="3">
        <v>11.84</v>
      </c>
      <c r="H38" s="3">
        <f>F38*G38</f>
        <v>23.68</v>
      </c>
      <c r="I38" t="str">
        <f t="shared" si="0"/>
        <v>Oct</v>
      </c>
      <c r="L38">
        <f t="shared" si="1"/>
        <v>0</v>
      </c>
    </row>
    <row r="39" spans="1:12">
      <c r="A39" t="s">
        <v>80</v>
      </c>
      <c r="B39" s="2">
        <v>45779</v>
      </c>
      <c r="C39" t="s">
        <v>3</v>
      </c>
      <c r="D39" t="s">
        <v>9</v>
      </c>
      <c r="E39" t="s">
        <v>35</v>
      </c>
      <c r="F39">
        <v>2</v>
      </c>
      <c r="G39" s="3">
        <v>203.93</v>
      </c>
      <c r="H39" s="3">
        <f>F39*G39</f>
        <v>407.86</v>
      </c>
      <c r="I39" t="str">
        <f t="shared" si="0"/>
        <v>May</v>
      </c>
      <c r="L39">
        <f t="shared" si="1"/>
        <v>0</v>
      </c>
    </row>
    <row r="40" spans="1:12">
      <c r="A40" t="s">
        <v>81</v>
      </c>
      <c r="B40" s="2">
        <v>45863</v>
      </c>
      <c r="C40" t="s">
        <v>2</v>
      </c>
      <c r="D40" t="s">
        <v>10</v>
      </c>
      <c r="E40" t="s">
        <v>70</v>
      </c>
      <c r="F40">
        <v>8</v>
      </c>
      <c r="G40" s="3">
        <v>6.52</v>
      </c>
      <c r="H40" s="3">
        <f>F40*G40</f>
        <v>52.16</v>
      </c>
      <c r="I40" t="str">
        <f t="shared" si="0"/>
        <v>Jul</v>
      </c>
      <c r="L40">
        <f t="shared" si="1"/>
        <v>0</v>
      </c>
    </row>
    <row r="41" spans="1:12">
      <c r="A41" t="s">
        <v>82</v>
      </c>
      <c r="B41" s="2">
        <v>45793</v>
      </c>
      <c r="C41" t="s">
        <v>5</v>
      </c>
      <c r="D41" t="s">
        <v>9</v>
      </c>
      <c r="E41" t="s">
        <v>41</v>
      </c>
      <c r="F41">
        <v>1</v>
      </c>
      <c r="G41" s="3">
        <v>307.02999999999997</v>
      </c>
      <c r="H41" s="3">
        <f>F41*G41</f>
        <v>307.02999999999997</v>
      </c>
      <c r="I41" t="str">
        <f t="shared" si="0"/>
        <v>May</v>
      </c>
      <c r="L41">
        <f t="shared" si="1"/>
        <v>0</v>
      </c>
    </row>
    <row r="42" spans="1:12">
      <c r="A42" t="s">
        <v>83</v>
      </c>
      <c r="B42" s="2">
        <v>45809</v>
      </c>
      <c r="C42" t="s">
        <v>3</v>
      </c>
      <c r="D42" t="s">
        <v>10</v>
      </c>
      <c r="E42" t="s">
        <v>70</v>
      </c>
      <c r="F42">
        <v>8</v>
      </c>
      <c r="G42" s="3">
        <v>6.42</v>
      </c>
      <c r="H42" s="3">
        <f>F42*G42</f>
        <v>51.36</v>
      </c>
      <c r="I42" t="str">
        <f t="shared" si="0"/>
        <v>Jun</v>
      </c>
    </row>
    <row r="43" spans="1:12">
      <c r="A43" t="s">
        <v>84</v>
      </c>
      <c r="B43" s="2">
        <v>45957</v>
      </c>
      <c r="C43" t="s">
        <v>5</v>
      </c>
      <c r="D43" t="s">
        <v>9</v>
      </c>
      <c r="E43" t="s">
        <v>35</v>
      </c>
      <c r="F43">
        <v>6</v>
      </c>
      <c r="G43" s="3">
        <v>165.34</v>
      </c>
      <c r="H43" s="3">
        <f>F43*G43</f>
        <v>992.04</v>
      </c>
      <c r="I43" t="str">
        <f t="shared" si="0"/>
        <v>Oct</v>
      </c>
    </row>
    <row r="44" spans="1:12">
      <c r="A44" t="s">
        <v>85</v>
      </c>
      <c r="B44" s="2">
        <v>45699</v>
      </c>
      <c r="C44" t="s">
        <v>3</v>
      </c>
      <c r="D44" t="s">
        <v>11</v>
      </c>
      <c r="E44" t="s">
        <v>51</v>
      </c>
      <c r="F44">
        <v>1</v>
      </c>
      <c r="G44" s="3">
        <v>288.75</v>
      </c>
      <c r="H44" s="3">
        <f>F44*G44</f>
        <v>288.75</v>
      </c>
      <c r="I44" t="str">
        <f t="shared" si="0"/>
        <v>Feb</v>
      </c>
    </row>
    <row r="45" spans="1:12">
      <c r="A45" t="s">
        <v>86</v>
      </c>
      <c r="B45" s="2">
        <v>45949</v>
      </c>
      <c r="C45" t="s">
        <v>3</v>
      </c>
      <c r="D45" t="s">
        <v>9</v>
      </c>
      <c r="E45" t="s">
        <v>35</v>
      </c>
      <c r="F45">
        <v>4</v>
      </c>
      <c r="G45" s="3">
        <v>180.73</v>
      </c>
      <c r="H45" s="3">
        <f>F45*G45</f>
        <v>722.92</v>
      </c>
      <c r="I45" t="str">
        <f t="shared" si="0"/>
        <v>Oct</v>
      </c>
    </row>
    <row r="46" spans="1:12">
      <c r="A46" t="s">
        <v>87</v>
      </c>
      <c r="B46" s="2">
        <v>45956</v>
      </c>
      <c r="C46" t="s">
        <v>4</v>
      </c>
      <c r="D46" t="s">
        <v>11</v>
      </c>
      <c r="E46" t="s">
        <v>33</v>
      </c>
      <c r="F46">
        <v>2</v>
      </c>
      <c r="G46" s="3">
        <v>833.52</v>
      </c>
      <c r="H46" s="3">
        <f>F46*G46</f>
        <v>1667.04</v>
      </c>
      <c r="I46" t="str">
        <f t="shared" si="0"/>
        <v>Oct</v>
      </c>
    </row>
    <row r="47" spans="1:12">
      <c r="A47" t="s">
        <v>88</v>
      </c>
      <c r="B47" s="2">
        <v>45860</v>
      </c>
      <c r="C47" t="s">
        <v>3</v>
      </c>
      <c r="D47" t="s">
        <v>10</v>
      </c>
      <c r="E47" t="s">
        <v>79</v>
      </c>
      <c r="F47">
        <v>6</v>
      </c>
      <c r="G47" s="3">
        <v>11.25</v>
      </c>
      <c r="H47" s="3">
        <f>F47*G47</f>
        <v>67.5</v>
      </c>
      <c r="I47" t="str">
        <f t="shared" si="0"/>
        <v>Jul</v>
      </c>
    </row>
    <row r="48" spans="1:12">
      <c r="A48" t="s">
        <v>89</v>
      </c>
      <c r="B48" s="2">
        <v>45695</v>
      </c>
      <c r="C48" t="s">
        <v>2</v>
      </c>
      <c r="D48" t="s">
        <v>11</v>
      </c>
      <c r="E48" t="s">
        <v>45</v>
      </c>
      <c r="F48">
        <v>8</v>
      </c>
      <c r="G48" s="3">
        <v>43.01</v>
      </c>
      <c r="H48" s="3">
        <f>F48*G48</f>
        <v>344.08</v>
      </c>
      <c r="I48" t="str">
        <f t="shared" si="0"/>
        <v>Feb</v>
      </c>
    </row>
    <row r="49" spans="1:9">
      <c r="A49" t="s">
        <v>90</v>
      </c>
      <c r="B49" s="2">
        <v>45917</v>
      </c>
      <c r="C49" t="s">
        <v>4</v>
      </c>
      <c r="D49" t="s">
        <v>10</v>
      </c>
      <c r="E49" t="s">
        <v>91</v>
      </c>
      <c r="F49">
        <v>2</v>
      </c>
      <c r="G49" s="3">
        <v>18.16</v>
      </c>
      <c r="H49" s="3">
        <f>F49*G49</f>
        <v>36.32</v>
      </c>
      <c r="I49" t="str">
        <f t="shared" si="0"/>
        <v>Sep</v>
      </c>
    </row>
    <row r="50" spans="1:9">
      <c r="A50" t="s">
        <v>92</v>
      </c>
      <c r="B50" s="2">
        <v>45847</v>
      </c>
      <c r="C50" t="s">
        <v>4</v>
      </c>
      <c r="D50" t="s">
        <v>9</v>
      </c>
      <c r="E50" t="s">
        <v>54</v>
      </c>
      <c r="F50">
        <v>2</v>
      </c>
      <c r="G50" s="3">
        <v>261.85000000000002</v>
      </c>
      <c r="H50" s="3">
        <f>F50*G50</f>
        <v>523.70000000000005</v>
      </c>
      <c r="I50" t="str">
        <f t="shared" si="0"/>
        <v>Jul</v>
      </c>
    </row>
    <row r="51" spans="1:9">
      <c r="A51" t="s">
        <v>93</v>
      </c>
      <c r="B51" s="2">
        <v>45992</v>
      </c>
      <c r="C51" t="s">
        <v>2</v>
      </c>
      <c r="D51" t="s">
        <v>9</v>
      </c>
      <c r="E51" t="s">
        <v>41</v>
      </c>
      <c r="F51">
        <v>5</v>
      </c>
      <c r="G51" s="3">
        <v>282.37</v>
      </c>
      <c r="H51" s="3">
        <f>F51*G51</f>
        <v>1411.85</v>
      </c>
      <c r="I51" t="str">
        <f t="shared" si="0"/>
        <v>Dec</v>
      </c>
    </row>
    <row r="52" spans="1:9">
      <c r="A52" t="s">
        <v>94</v>
      </c>
      <c r="B52" s="2">
        <v>45726</v>
      </c>
      <c r="C52" t="s">
        <v>4</v>
      </c>
      <c r="D52" t="s">
        <v>11</v>
      </c>
      <c r="E52" t="s">
        <v>45</v>
      </c>
      <c r="F52">
        <v>2</v>
      </c>
      <c r="G52" s="3">
        <v>49.74</v>
      </c>
      <c r="H52" s="3">
        <f>F52*G52</f>
        <v>99.48</v>
      </c>
      <c r="I52" t="str">
        <f t="shared" si="0"/>
        <v>Mar</v>
      </c>
    </row>
    <row r="53" spans="1:9">
      <c r="A53" t="s">
        <v>95</v>
      </c>
      <c r="B53" s="2">
        <v>45967</v>
      </c>
      <c r="C53" t="s">
        <v>3</v>
      </c>
      <c r="D53" t="s">
        <v>9</v>
      </c>
      <c r="E53" t="s">
        <v>35</v>
      </c>
      <c r="F53">
        <v>3</v>
      </c>
      <c r="G53" s="3">
        <v>174.89</v>
      </c>
      <c r="H53" s="3">
        <f>F53*G53</f>
        <v>524.66999999999996</v>
      </c>
      <c r="I53" t="str">
        <f t="shared" si="0"/>
        <v>Nov</v>
      </c>
    </row>
    <row r="54" spans="1:9">
      <c r="A54" t="s">
        <v>96</v>
      </c>
      <c r="B54" s="2">
        <v>45793</v>
      </c>
      <c r="C54" t="s">
        <v>5</v>
      </c>
      <c r="D54" t="s">
        <v>11</v>
      </c>
      <c r="E54" t="s">
        <v>45</v>
      </c>
      <c r="F54">
        <v>4</v>
      </c>
      <c r="G54" s="3">
        <v>47.02</v>
      </c>
      <c r="H54" s="3">
        <f>F54*G54</f>
        <v>188.08</v>
      </c>
      <c r="I54" t="str">
        <f t="shared" si="0"/>
        <v>May</v>
      </c>
    </row>
    <row r="55" spans="1:9">
      <c r="A55" t="s">
        <v>97</v>
      </c>
      <c r="B55" s="2">
        <v>45799</v>
      </c>
      <c r="C55" t="s">
        <v>2</v>
      </c>
      <c r="D55" t="s">
        <v>10</v>
      </c>
      <c r="E55" t="s">
        <v>91</v>
      </c>
      <c r="F55">
        <v>2</v>
      </c>
      <c r="G55" s="3">
        <v>18.579999999999998</v>
      </c>
      <c r="H55" s="3">
        <f>F55*G55</f>
        <v>37.159999999999997</v>
      </c>
      <c r="I55" t="str">
        <f t="shared" si="0"/>
        <v>May</v>
      </c>
    </row>
    <row r="56" spans="1:9">
      <c r="A56" t="s">
        <v>98</v>
      </c>
      <c r="B56" s="2">
        <v>45792</v>
      </c>
      <c r="C56" t="s">
        <v>3</v>
      </c>
      <c r="D56" t="s">
        <v>9</v>
      </c>
      <c r="E56" t="s">
        <v>54</v>
      </c>
      <c r="F56">
        <v>3</v>
      </c>
      <c r="G56" s="3">
        <v>247.9</v>
      </c>
      <c r="H56" s="3">
        <f>F56*G56</f>
        <v>743.7</v>
      </c>
      <c r="I56" t="str">
        <f t="shared" si="0"/>
        <v>May</v>
      </c>
    </row>
    <row r="57" spans="1:9">
      <c r="A57" t="s">
        <v>99</v>
      </c>
      <c r="B57" s="2">
        <v>45715</v>
      </c>
      <c r="C57" t="s">
        <v>2</v>
      </c>
      <c r="D57" t="s">
        <v>11</v>
      </c>
      <c r="E57" t="s">
        <v>39</v>
      </c>
      <c r="F57">
        <v>7</v>
      </c>
      <c r="G57" s="3">
        <v>192.78</v>
      </c>
      <c r="H57" s="3">
        <f>F57*G57</f>
        <v>1349.46</v>
      </c>
      <c r="I57" t="str">
        <f t="shared" si="0"/>
        <v>Feb</v>
      </c>
    </row>
    <row r="58" spans="1:9">
      <c r="A58" t="s">
        <v>100</v>
      </c>
      <c r="B58" s="2">
        <v>45956</v>
      </c>
      <c r="C58" t="s">
        <v>3</v>
      </c>
      <c r="D58" t="s">
        <v>11</v>
      </c>
      <c r="E58" t="s">
        <v>51</v>
      </c>
      <c r="F58">
        <v>1</v>
      </c>
      <c r="G58" s="3">
        <v>280.88</v>
      </c>
      <c r="H58" s="3">
        <f>F58*G58</f>
        <v>280.88</v>
      </c>
      <c r="I58" t="str">
        <f t="shared" si="0"/>
        <v>Oct</v>
      </c>
    </row>
    <row r="59" spans="1:9">
      <c r="A59" t="s">
        <v>101</v>
      </c>
      <c r="B59" s="2">
        <v>45678</v>
      </c>
      <c r="C59" t="s">
        <v>4</v>
      </c>
      <c r="D59" t="s">
        <v>10</v>
      </c>
      <c r="E59" t="s">
        <v>79</v>
      </c>
      <c r="F59">
        <v>1</v>
      </c>
      <c r="G59" s="3">
        <v>11.45</v>
      </c>
      <c r="H59" s="3">
        <f>F59*G59</f>
        <v>11.45</v>
      </c>
      <c r="I59" t="str">
        <f t="shared" si="0"/>
        <v>Jan</v>
      </c>
    </row>
    <row r="60" spans="1:9">
      <c r="A60" t="s">
        <v>102</v>
      </c>
      <c r="B60" s="2">
        <v>45944</v>
      </c>
      <c r="C60" t="s">
        <v>5</v>
      </c>
      <c r="D60" t="s">
        <v>9</v>
      </c>
      <c r="E60" t="s">
        <v>37</v>
      </c>
      <c r="F60">
        <v>2</v>
      </c>
      <c r="G60" s="3">
        <v>308.76</v>
      </c>
      <c r="H60" s="3">
        <f>F60*G60</f>
        <v>617.52</v>
      </c>
      <c r="I60" t="str">
        <f t="shared" si="0"/>
        <v>Oct</v>
      </c>
    </row>
    <row r="61" spans="1:9">
      <c r="A61" t="s">
        <v>103</v>
      </c>
      <c r="B61" s="2">
        <v>45748</v>
      </c>
      <c r="C61" t="s">
        <v>5</v>
      </c>
      <c r="D61" t="s">
        <v>11</v>
      </c>
      <c r="E61" t="s">
        <v>51</v>
      </c>
      <c r="F61">
        <v>4</v>
      </c>
      <c r="G61" s="3">
        <v>282.75</v>
      </c>
      <c r="H61" s="3">
        <f>F61*G61</f>
        <v>1131</v>
      </c>
      <c r="I61" t="str">
        <f t="shared" si="0"/>
        <v>Apr</v>
      </c>
    </row>
    <row r="62" spans="1:9">
      <c r="A62" t="s">
        <v>104</v>
      </c>
      <c r="B62" s="2">
        <v>45868</v>
      </c>
      <c r="C62" t="s">
        <v>3</v>
      </c>
      <c r="D62" t="s">
        <v>9</v>
      </c>
      <c r="E62" t="s">
        <v>37</v>
      </c>
      <c r="F62">
        <v>6</v>
      </c>
      <c r="G62" s="3">
        <v>341.69</v>
      </c>
      <c r="H62" s="3">
        <f>F62*G62</f>
        <v>2050.14</v>
      </c>
      <c r="I62" t="str">
        <f t="shared" si="0"/>
        <v>Jul</v>
      </c>
    </row>
    <row r="63" spans="1:9">
      <c r="A63" t="s">
        <v>105</v>
      </c>
      <c r="B63" s="2">
        <v>45677</v>
      </c>
      <c r="C63" t="s">
        <v>5</v>
      </c>
      <c r="D63" t="s">
        <v>10</v>
      </c>
      <c r="E63" t="s">
        <v>79</v>
      </c>
      <c r="F63">
        <v>2</v>
      </c>
      <c r="G63" s="3">
        <v>11.66</v>
      </c>
      <c r="H63" s="3">
        <f>F63*G63</f>
        <v>23.32</v>
      </c>
      <c r="I63" t="str">
        <f t="shared" si="0"/>
        <v>Jan</v>
      </c>
    </row>
    <row r="64" spans="1:9">
      <c r="A64" t="s">
        <v>106</v>
      </c>
      <c r="B64" s="2">
        <v>45774</v>
      </c>
      <c r="C64" t="s">
        <v>3</v>
      </c>
      <c r="D64" t="s">
        <v>9</v>
      </c>
      <c r="E64" t="s">
        <v>37</v>
      </c>
      <c r="F64">
        <v>8</v>
      </c>
      <c r="G64" s="3">
        <v>308.45</v>
      </c>
      <c r="H64" s="3">
        <f>F64*G64</f>
        <v>2467.6</v>
      </c>
      <c r="I64" t="str">
        <f t="shared" si="0"/>
        <v>Apr</v>
      </c>
    </row>
    <row r="65" spans="1:9">
      <c r="A65" t="s">
        <v>107</v>
      </c>
      <c r="B65" s="2">
        <v>45693</v>
      </c>
      <c r="C65" t="s">
        <v>4</v>
      </c>
      <c r="D65" t="s">
        <v>9</v>
      </c>
      <c r="E65" t="s">
        <v>37</v>
      </c>
      <c r="F65">
        <v>7</v>
      </c>
      <c r="G65" s="3">
        <v>306.81</v>
      </c>
      <c r="H65" s="3">
        <f>F65*G65</f>
        <v>2147.67</v>
      </c>
      <c r="I65" t="str">
        <f t="shared" si="0"/>
        <v>Feb</v>
      </c>
    </row>
    <row r="66" spans="1:9">
      <c r="A66" t="s">
        <v>108</v>
      </c>
      <c r="B66" s="2">
        <v>45717</v>
      </c>
      <c r="C66" t="s">
        <v>4</v>
      </c>
      <c r="D66" t="s">
        <v>10</v>
      </c>
      <c r="E66" t="s">
        <v>70</v>
      </c>
      <c r="F66">
        <v>6</v>
      </c>
      <c r="G66" s="3">
        <v>7.74</v>
      </c>
      <c r="H66" s="3">
        <f>F66*G66</f>
        <v>46.44</v>
      </c>
      <c r="I66" t="str">
        <f t="shared" ref="I66:I129" si="2">TEXT(B66,"mmm")</f>
        <v>Mar</v>
      </c>
    </row>
    <row r="67" spans="1:9">
      <c r="A67" t="s">
        <v>109</v>
      </c>
      <c r="B67" s="2">
        <v>45880</v>
      </c>
      <c r="C67" t="s">
        <v>4</v>
      </c>
      <c r="D67" t="s">
        <v>9</v>
      </c>
      <c r="E67" t="s">
        <v>54</v>
      </c>
      <c r="F67">
        <v>1</v>
      </c>
      <c r="G67" s="3">
        <v>217.44</v>
      </c>
      <c r="H67" s="3">
        <f>F67*G67</f>
        <v>217.44</v>
      </c>
      <c r="I67" t="str">
        <f t="shared" si="2"/>
        <v>Aug</v>
      </c>
    </row>
    <row r="68" spans="1:9">
      <c r="A68" t="s">
        <v>110</v>
      </c>
      <c r="B68" s="2">
        <v>45919</v>
      </c>
      <c r="C68" t="s">
        <v>2</v>
      </c>
      <c r="D68" t="s">
        <v>11</v>
      </c>
      <c r="E68" t="s">
        <v>45</v>
      </c>
      <c r="F68">
        <v>7</v>
      </c>
      <c r="G68" s="3">
        <v>46.15</v>
      </c>
      <c r="H68" s="3">
        <f>F68*G68</f>
        <v>323.05</v>
      </c>
      <c r="I68" t="str">
        <f t="shared" si="2"/>
        <v>Sep</v>
      </c>
    </row>
    <row r="69" spans="1:9">
      <c r="A69" t="s">
        <v>111</v>
      </c>
      <c r="B69" s="2">
        <v>45881</v>
      </c>
      <c r="C69" t="s">
        <v>2</v>
      </c>
      <c r="D69" t="s">
        <v>10</v>
      </c>
      <c r="E69" t="s">
        <v>79</v>
      </c>
      <c r="F69">
        <v>5</v>
      </c>
      <c r="G69" s="3">
        <v>10.69</v>
      </c>
      <c r="H69" s="3">
        <f>F69*G69</f>
        <v>53.449999999999996</v>
      </c>
      <c r="I69" t="str">
        <f t="shared" si="2"/>
        <v>Aug</v>
      </c>
    </row>
    <row r="70" spans="1:9">
      <c r="A70" t="s">
        <v>112</v>
      </c>
      <c r="B70" s="2">
        <v>45998</v>
      </c>
      <c r="C70" t="s">
        <v>4</v>
      </c>
      <c r="D70" t="s">
        <v>11</v>
      </c>
      <c r="E70" t="s">
        <v>51</v>
      </c>
      <c r="F70">
        <v>6</v>
      </c>
      <c r="G70" s="3">
        <v>255.71</v>
      </c>
      <c r="H70" s="3">
        <f>F70*G70</f>
        <v>1534.26</v>
      </c>
      <c r="I70" t="str">
        <f t="shared" si="2"/>
        <v>Dec</v>
      </c>
    </row>
    <row r="71" spans="1:9">
      <c r="A71" t="s">
        <v>113</v>
      </c>
      <c r="B71" s="2">
        <v>45811</v>
      </c>
      <c r="C71" t="s">
        <v>4</v>
      </c>
      <c r="D71" t="s">
        <v>11</v>
      </c>
      <c r="E71" t="s">
        <v>45</v>
      </c>
      <c r="F71">
        <v>2</v>
      </c>
      <c r="G71" s="3">
        <v>47.37</v>
      </c>
      <c r="H71" s="3">
        <f>F71*G71</f>
        <v>94.74</v>
      </c>
      <c r="I71" t="str">
        <f t="shared" si="2"/>
        <v>Jun</v>
      </c>
    </row>
    <row r="72" spans="1:9">
      <c r="A72" t="s">
        <v>114</v>
      </c>
      <c r="B72" s="2">
        <v>45809</v>
      </c>
      <c r="C72" t="s">
        <v>3</v>
      </c>
      <c r="D72" t="s">
        <v>11</v>
      </c>
      <c r="E72" t="s">
        <v>39</v>
      </c>
      <c r="F72">
        <v>6</v>
      </c>
      <c r="G72" s="3">
        <v>185.55</v>
      </c>
      <c r="H72" s="3">
        <f>F72*G72</f>
        <v>1113.3000000000002</v>
      </c>
      <c r="I72" t="str">
        <f t="shared" si="2"/>
        <v>Jun</v>
      </c>
    </row>
    <row r="73" spans="1:9">
      <c r="A73" t="s">
        <v>115</v>
      </c>
      <c r="B73" s="2">
        <v>45747</v>
      </c>
      <c r="C73" t="s">
        <v>4</v>
      </c>
      <c r="D73" t="s">
        <v>9</v>
      </c>
      <c r="E73" t="s">
        <v>41</v>
      </c>
      <c r="F73">
        <v>7</v>
      </c>
      <c r="G73" s="3">
        <v>286.7</v>
      </c>
      <c r="H73" s="3">
        <f>F73*G73</f>
        <v>2006.8999999999999</v>
      </c>
      <c r="I73" t="str">
        <f t="shared" si="2"/>
        <v>Mar</v>
      </c>
    </row>
    <row r="74" spans="1:9">
      <c r="A74" t="s">
        <v>116</v>
      </c>
      <c r="B74" s="2">
        <v>45878</v>
      </c>
      <c r="C74" t="s">
        <v>4</v>
      </c>
      <c r="D74" t="s">
        <v>10</v>
      </c>
      <c r="E74" t="s">
        <v>91</v>
      </c>
      <c r="F74">
        <v>5</v>
      </c>
      <c r="G74" s="3">
        <v>17.079999999999998</v>
      </c>
      <c r="H74" s="3">
        <f>F74*G74</f>
        <v>85.399999999999991</v>
      </c>
      <c r="I74" t="str">
        <f t="shared" si="2"/>
        <v>Aug</v>
      </c>
    </row>
    <row r="75" spans="1:9">
      <c r="A75" t="s">
        <v>117</v>
      </c>
      <c r="B75" s="2">
        <v>45919</v>
      </c>
      <c r="C75" t="s">
        <v>5</v>
      </c>
      <c r="D75" t="s">
        <v>10</v>
      </c>
      <c r="E75" t="s">
        <v>70</v>
      </c>
      <c r="F75">
        <v>8</v>
      </c>
      <c r="G75" s="3">
        <v>7.3</v>
      </c>
      <c r="H75" s="3">
        <f>F75*G75</f>
        <v>58.4</v>
      </c>
      <c r="I75" t="str">
        <f t="shared" si="2"/>
        <v>Sep</v>
      </c>
    </row>
    <row r="76" spans="1:9">
      <c r="A76" t="s">
        <v>118</v>
      </c>
      <c r="B76" s="2">
        <v>45997</v>
      </c>
      <c r="C76" t="s">
        <v>4</v>
      </c>
      <c r="D76" t="s">
        <v>11</v>
      </c>
      <c r="E76" t="s">
        <v>51</v>
      </c>
      <c r="F76">
        <v>2</v>
      </c>
      <c r="G76" s="3">
        <v>246.51</v>
      </c>
      <c r="H76" s="3">
        <f>F76*G76</f>
        <v>493.02</v>
      </c>
      <c r="I76" t="str">
        <f t="shared" si="2"/>
        <v>Dec</v>
      </c>
    </row>
    <row r="77" spans="1:9">
      <c r="A77" t="s">
        <v>119</v>
      </c>
      <c r="B77" s="2">
        <v>45759</v>
      </c>
      <c r="C77" t="s">
        <v>3</v>
      </c>
      <c r="D77" t="s">
        <v>9</v>
      </c>
      <c r="E77" t="s">
        <v>37</v>
      </c>
      <c r="F77">
        <v>5</v>
      </c>
      <c r="G77" s="3">
        <v>298.85000000000002</v>
      </c>
      <c r="H77" s="3">
        <f>F77*G77</f>
        <v>1494.25</v>
      </c>
      <c r="I77" t="str">
        <f t="shared" si="2"/>
        <v>Apr</v>
      </c>
    </row>
    <row r="78" spans="1:9">
      <c r="A78" t="s">
        <v>120</v>
      </c>
      <c r="B78" s="2">
        <v>45970</v>
      </c>
      <c r="C78" t="s">
        <v>2</v>
      </c>
      <c r="D78" t="s">
        <v>9</v>
      </c>
      <c r="E78" t="s">
        <v>35</v>
      </c>
      <c r="F78">
        <v>4</v>
      </c>
      <c r="G78" s="3">
        <v>206.49</v>
      </c>
      <c r="H78" s="3">
        <f>F78*G78</f>
        <v>825.96</v>
      </c>
      <c r="I78" t="str">
        <f t="shared" si="2"/>
        <v>Nov</v>
      </c>
    </row>
    <row r="79" spans="1:9">
      <c r="A79" t="s">
        <v>121</v>
      </c>
      <c r="B79" s="2">
        <v>45854</v>
      </c>
      <c r="C79" t="s">
        <v>5</v>
      </c>
      <c r="D79" t="s">
        <v>10</v>
      </c>
      <c r="E79" t="s">
        <v>70</v>
      </c>
      <c r="F79">
        <v>4</v>
      </c>
      <c r="G79" s="3">
        <v>7.37</v>
      </c>
      <c r="H79" s="3">
        <f>F79*G79</f>
        <v>29.48</v>
      </c>
      <c r="I79" t="str">
        <f t="shared" si="2"/>
        <v>Jul</v>
      </c>
    </row>
    <row r="80" spans="1:9">
      <c r="A80" t="s">
        <v>122</v>
      </c>
      <c r="B80" s="2">
        <v>45660</v>
      </c>
      <c r="C80" t="s">
        <v>2</v>
      </c>
      <c r="D80" t="s">
        <v>10</v>
      </c>
      <c r="E80" t="s">
        <v>79</v>
      </c>
      <c r="F80">
        <v>3</v>
      </c>
      <c r="G80" s="3">
        <v>12.45</v>
      </c>
      <c r="H80" s="3">
        <f>F80*G80</f>
        <v>37.349999999999994</v>
      </c>
      <c r="I80" t="str">
        <f t="shared" si="2"/>
        <v>Jan</v>
      </c>
    </row>
    <row r="81" spans="1:9">
      <c r="A81" t="s">
        <v>123</v>
      </c>
      <c r="B81" s="2">
        <v>46014</v>
      </c>
      <c r="C81" t="s">
        <v>5</v>
      </c>
      <c r="D81" t="s">
        <v>10</v>
      </c>
      <c r="E81" t="s">
        <v>79</v>
      </c>
      <c r="F81">
        <v>3</v>
      </c>
      <c r="G81" s="3">
        <v>12.88</v>
      </c>
      <c r="H81" s="3">
        <f>F81*G81</f>
        <v>38.64</v>
      </c>
      <c r="I81" t="str">
        <f t="shared" si="2"/>
        <v>Dec</v>
      </c>
    </row>
    <row r="82" spans="1:9">
      <c r="A82" t="s">
        <v>124</v>
      </c>
      <c r="B82" s="2">
        <v>45895</v>
      </c>
      <c r="C82" t="s">
        <v>4</v>
      </c>
      <c r="D82" t="s">
        <v>9</v>
      </c>
      <c r="E82" t="s">
        <v>37</v>
      </c>
      <c r="F82">
        <v>2</v>
      </c>
      <c r="G82" s="3">
        <v>316.66000000000003</v>
      </c>
      <c r="H82" s="3">
        <f>F82*G82</f>
        <v>633.32000000000005</v>
      </c>
      <c r="I82" t="str">
        <f t="shared" si="2"/>
        <v>Aug</v>
      </c>
    </row>
    <row r="83" spans="1:9">
      <c r="A83" t="s">
        <v>125</v>
      </c>
      <c r="B83" s="2">
        <v>45901</v>
      </c>
      <c r="C83" t="s">
        <v>5</v>
      </c>
      <c r="D83" t="s">
        <v>10</v>
      </c>
      <c r="E83" t="s">
        <v>70</v>
      </c>
      <c r="F83">
        <v>8</v>
      </c>
      <c r="G83" s="3">
        <v>7.67</v>
      </c>
      <c r="H83" s="3">
        <f>F83*G83</f>
        <v>61.36</v>
      </c>
      <c r="I83" t="str">
        <f t="shared" si="2"/>
        <v>Sep</v>
      </c>
    </row>
    <row r="84" spans="1:9">
      <c r="A84" t="s">
        <v>126</v>
      </c>
      <c r="B84" s="2">
        <v>45924</v>
      </c>
      <c r="C84" t="s">
        <v>5</v>
      </c>
      <c r="D84" t="s">
        <v>10</v>
      </c>
      <c r="E84" t="s">
        <v>79</v>
      </c>
      <c r="F84">
        <v>5</v>
      </c>
      <c r="G84" s="3">
        <v>12.77</v>
      </c>
      <c r="H84" s="3">
        <f>F84*G84</f>
        <v>63.849999999999994</v>
      </c>
      <c r="I84" t="str">
        <f t="shared" si="2"/>
        <v>Sep</v>
      </c>
    </row>
    <row r="85" spans="1:9">
      <c r="A85" t="s">
        <v>127</v>
      </c>
      <c r="B85" s="2">
        <v>45804</v>
      </c>
      <c r="C85" t="s">
        <v>3</v>
      </c>
      <c r="D85" t="s">
        <v>11</v>
      </c>
      <c r="E85" t="s">
        <v>51</v>
      </c>
      <c r="F85">
        <v>5</v>
      </c>
      <c r="G85" s="3">
        <v>256.25</v>
      </c>
      <c r="H85" s="3">
        <f>F85*G85</f>
        <v>1281.25</v>
      </c>
      <c r="I85" t="str">
        <f t="shared" si="2"/>
        <v>May</v>
      </c>
    </row>
    <row r="86" spans="1:9">
      <c r="A86" t="s">
        <v>128</v>
      </c>
      <c r="B86" s="2">
        <v>45699</v>
      </c>
      <c r="C86" t="s">
        <v>3</v>
      </c>
      <c r="D86" t="s">
        <v>10</v>
      </c>
      <c r="E86" t="s">
        <v>48</v>
      </c>
      <c r="F86">
        <v>6</v>
      </c>
      <c r="G86" s="3">
        <v>9.85</v>
      </c>
      <c r="H86" s="3">
        <f>F86*G86</f>
        <v>59.099999999999994</v>
      </c>
      <c r="I86" t="str">
        <f t="shared" si="2"/>
        <v>Feb</v>
      </c>
    </row>
    <row r="87" spans="1:9">
      <c r="A87" t="s">
        <v>129</v>
      </c>
      <c r="B87" s="2">
        <v>46019</v>
      </c>
      <c r="C87" t="s">
        <v>3</v>
      </c>
      <c r="D87" t="s">
        <v>9</v>
      </c>
      <c r="E87" t="s">
        <v>37</v>
      </c>
      <c r="F87">
        <v>7</v>
      </c>
      <c r="G87" s="3">
        <v>334.9</v>
      </c>
      <c r="H87" s="3">
        <f>F87*G87</f>
        <v>2344.2999999999997</v>
      </c>
      <c r="I87" t="str">
        <f t="shared" si="2"/>
        <v>Dec</v>
      </c>
    </row>
    <row r="88" spans="1:9">
      <c r="A88" t="s">
        <v>130</v>
      </c>
      <c r="B88" s="2">
        <v>45896</v>
      </c>
      <c r="C88" t="s">
        <v>5</v>
      </c>
      <c r="D88" t="s">
        <v>9</v>
      </c>
      <c r="E88" t="s">
        <v>41</v>
      </c>
      <c r="F88">
        <v>7</v>
      </c>
      <c r="G88" s="3">
        <v>263.83999999999997</v>
      </c>
      <c r="H88" s="3">
        <f>F88*G88</f>
        <v>1846.8799999999999</v>
      </c>
      <c r="I88" t="str">
        <f t="shared" si="2"/>
        <v>Aug</v>
      </c>
    </row>
    <row r="89" spans="1:9">
      <c r="A89" t="s">
        <v>131</v>
      </c>
      <c r="B89" s="2">
        <v>45957</v>
      </c>
      <c r="C89" t="s">
        <v>2</v>
      </c>
      <c r="D89" t="s">
        <v>9</v>
      </c>
      <c r="E89" t="s">
        <v>37</v>
      </c>
      <c r="F89">
        <v>7</v>
      </c>
      <c r="G89" s="3">
        <v>311.51</v>
      </c>
      <c r="H89" s="3">
        <f>F89*G89</f>
        <v>2180.5699999999997</v>
      </c>
      <c r="I89" t="str">
        <f t="shared" si="2"/>
        <v>Oct</v>
      </c>
    </row>
    <row r="90" spans="1:9">
      <c r="A90" t="s">
        <v>132</v>
      </c>
      <c r="B90" s="2">
        <v>45838</v>
      </c>
      <c r="C90" t="s">
        <v>4</v>
      </c>
      <c r="D90" t="s">
        <v>11</v>
      </c>
      <c r="E90" t="s">
        <v>39</v>
      </c>
      <c r="F90">
        <v>8</v>
      </c>
      <c r="G90" s="3">
        <v>167.47</v>
      </c>
      <c r="H90" s="3">
        <f>F90*G90</f>
        <v>1339.76</v>
      </c>
      <c r="I90" t="str">
        <f t="shared" si="2"/>
        <v>Jun</v>
      </c>
    </row>
    <row r="91" spans="1:9">
      <c r="A91" t="s">
        <v>133</v>
      </c>
      <c r="B91" s="2">
        <v>45797</v>
      </c>
      <c r="C91" t="s">
        <v>5</v>
      </c>
      <c r="D91" t="s">
        <v>10</v>
      </c>
      <c r="E91" t="s">
        <v>70</v>
      </c>
      <c r="F91">
        <v>4</v>
      </c>
      <c r="G91" s="3">
        <v>6.98</v>
      </c>
      <c r="H91" s="3">
        <f>F91*G91</f>
        <v>27.92</v>
      </c>
      <c r="I91" t="str">
        <f t="shared" si="2"/>
        <v>May</v>
      </c>
    </row>
    <row r="92" spans="1:9">
      <c r="A92" t="s">
        <v>134</v>
      </c>
      <c r="B92" s="2">
        <v>46005</v>
      </c>
      <c r="C92" t="s">
        <v>5</v>
      </c>
      <c r="D92" t="s">
        <v>10</v>
      </c>
      <c r="E92" t="s">
        <v>91</v>
      </c>
      <c r="F92">
        <v>7</v>
      </c>
      <c r="G92" s="3">
        <v>17.29</v>
      </c>
      <c r="H92" s="3">
        <f>F92*G92</f>
        <v>121.03</v>
      </c>
      <c r="I92" t="str">
        <f t="shared" si="2"/>
        <v>Dec</v>
      </c>
    </row>
    <row r="93" spans="1:9">
      <c r="A93" t="s">
        <v>135</v>
      </c>
      <c r="B93" s="2">
        <v>45976</v>
      </c>
      <c r="C93" t="s">
        <v>2</v>
      </c>
      <c r="D93" t="s">
        <v>11</v>
      </c>
      <c r="E93" t="s">
        <v>51</v>
      </c>
      <c r="F93">
        <v>8</v>
      </c>
      <c r="G93" s="3">
        <v>286.18</v>
      </c>
      <c r="H93" s="3">
        <f>F93*G93</f>
        <v>2289.44</v>
      </c>
      <c r="I93" t="str">
        <f t="shared" si="2"/>
        <v>Nov</v>
      </c>
    </row>
    <row r="94" spans="1:9">
      <c r="A94" t="s">
        <v>136</v>
      </c>
      <c r="B94" s="2">
        <v>45727</v>
      </c>
      <c r="C94" t="s">
        <v>5</v>
      </c>
      <c r="D94" t="s">
        <v>10</v>
      </c>
      <c r="E94" t="s">
        <v>91</v>
      </c>
      <c r="F94">
        <v>2</v>
      </c>
      <c r="G94" s="3">
        <v>18.62</v>
      </c>
      <c r="H94" s="3">
        <f>F94*G94</f>
        <v>37.24</v>
      </c>
      <c r="I94" t="str">
        <f t="shared" si="2"/>
        <v>Mar</v>
      </c>
    </row>
    <row r="95" spans="1:9">
      <c r="A95" t="s">
        <v>137</v>
      </c>
      <c r="B95" s="2">
        <v>45766</v>
      </c>
      <c r="C95" t="s">
        <v>5</v>
      </c>
      <c r="D95" t="s">
        <v>9</v>
      </c>
      <c r="E95" t="s">
        <v>35</v>
      </c>
      <c r="F95">
        <v>5</v>
      </c>
      <c r="G95" s="3">
        <v>179.63</v>
      </c>
      <c r="H95" s="3">
        <f>F95*G95</f>
        <v>898.15</v>
      </c>
      <c r="I95" t="str">
        <f t="shared" si="2"/>
        <v>Apr</v>
      </c>
    </row>
    <row r="96" spans="1:9">
      <c r="A96" t="s">
        <v>138</v>
      </c>
      <c r="B96" s="2">
        <v>45873</v>
      </c>
      <c r="C96" t="s">
        <v>4</v>
      </c>
      <c r="D96" t="s">
        <v>10</v>
      </c>
      <c r="E96" t="s">
        <v>48</v>
      </c>
      <c r="F96">
        <v>7</v>
      </c>
      <c r="G96" s="3">
        <v>8.52</v>
      </c>
      <c r="H96" s="3">
        <f>F96*G96</f>
        <v>59.64</v>
      </c>
      <c r="I96" t="str">
        <f t="shared" si="2"/>
        <v>Aug</v>
      </c>
    </row>
    <row r="97" spans="1:9">
      <c r="A97" t="s">
        <v>139</v>
      </c>
      <c r="B97" s="2">
        <v>45684</v>
      </c>
      <c r="C97" t="s">
        <v>4</v>
      </c>
      <c r="D97" t="s">
        <v>9</v>
      </c>
      <c r="E97" t="s">
        <v>41</v>
      </c>
      <c r="F97">
        <v>1</v>
      </c>
      <c r="G97" s="3">
        <v>291.44</v>
      </c>
      <c r="H97" s="3">
        <f>F97*G97</f>
        <v>291.44</v>
      </c>
      <c r="I97" t="str">
        <f t="shared" si="2"/>
        <v>Jan</v>
      </c>
    </row>
    <row r="98" spans="1:9">
      <c r="A98" t="s">
        <v>140</v>
      </c>
      <c r="B98" s="2">
        <v>45784</v>
      </c>
      <c r="C98" t="s">
        <v>3</v>
      </c>
      <c r="D98" t="s">
        <v>9</v>
      </c>
      <c r="E98" t="s">
        <v>35</v>
      </c>
      <c r="F98">
        <v>1</v>
      </c>
      <c r="G98" s="3">
        <v>196.29</v>
      </c>
      <c r="H98" s="3">
        <f>F98*G98</f>
        <v>196.29</v>
      </c>
      <c r="I98" t="str">
        <f t="shared" si="2"/>
        <v>May</v>
      </c>
    </row>
    <row r="99" spans="1:9">
      <c r="A99" t="s">
        <v>141</v>
      </c>
      <c r="B99" s="2">
        <v>46000</v>
      </c>
      <c r="C99" t="s">
        <v>2</v>
      </c>
      <c r="D99" t="s">
        <v>9</v>
      </c>
      <c r="E99" t="s">
        <v>37</v>
      </c>
      <c r="F99">
        <v>4</v>
      </c>
      <c r="G99" s="3">
        <v>291.29000000000002</v>
      </c>
      <c r="H99" s="3">
        <f>F99*G99</f>
        <v>1165.1600000000001</v>
      </c>
      <c r="I99" t="str">
        <f t="shared" si="2"/>
        <v>Dec</v>
      </c>
    </row>
    <row r="100" spans="1:9">
      <c r="A100" t="s">
        <v>142</v>
      </c>
      <c r="B100" s="2">
        <v>45846</v>
      </c>
      <c r="C100" t="s">
        <v>3</v>
      </c>
      <c r="D100" t="s">
        <v>11</v>
      </c>
      <c r="E100" t="s">
        <v>51</v>
      </c>
      <c r="F100">
        <v>8</v>
      </c>
      <c r="G100" s="3">
        <v>272.45</v>
      </c>
      <c r="H100" s="3">
        <f>F100*G100</f>
        <v>2179.6</v>
      </c>
      <c r="I100" t="str">
        <f t="shared" si="2"/>
        <v>Jul</v>
      </c>
    </row>
    <row r="101" spans="1:9">
      <c r="A101" t="s">
        <v>143</v>
      </c>
      <c r="B101" s="2">
        <v>45713</v>
      </c>
      <c r="C101" t="s">
        <v>2</v>
      </c>
      <c r="D101" t="s">
        <v>11</v>
      </c>
      <c r="E101" t="s">
        <v>33</v>
      </c>
      <c r="F101">
        <v>3</v>
      </c>
      <c r="G101" s="3">
        <v>944.8</v>
      </c>
      <c r="H101" s="3">
        <f>F101*G101</f>
        <v>2834.3999999999996</v>
      </c>
      <c r="I101" t="str">
        <f t="shared" si="2"/>
        <v>Feb</v>
      </c>
    </row>
    <row r="102" spans="1:9">
      <c r="A102" t="s">
        <v>144</v>
      </c>
      <c r="B102" s="2">
        <v>45759</v>
      </c>
      <c r="C102" t="s">
        <v>2</v>
      </c>
      <c r="D102" t="s">
        <v>10</v>
      </c>
      <c r="E102" t="s">
        <v>70</v>
      </c>
      <c r="F102">
        <v>7</v>
      </c>
      <c r="G102" s="3">
        <v>7.74</v>
      </c>
      <c r="H102" s="3">
        <f>F102*G102</f>
        <v>54.18</v>
      </c>
      <c r="I102" t="str">
        <f t="shared" si="2"/>
        <v>Apr</v>
      </c>
    </row>
    <row r="103" spans="1:9">
      <c r="A103" t="s">
        <v>145</v>
      </c>
      <c r="B103" s="2">
        <v>45812</v>
      </c>
      <c r="C103" t="s">
        <v>2</v>
      </c>
      <c r="D103" t="s">
        <v>11</v>
      </c>
      <c r="E103" t="s">
        <v>51</v>
      </c>
      <c r="F103">
        <v>2</v>
      </c>
      <c r="G103" s="3">
        <v>272.3</v>
      </c>
      <c r="H103" s="3">
        <f>F103*G103</f>
        <v>544.6</v>
      </c>
      <c r="I103" t="str">
        <f t="shared" si="2"/>
        <v>Jun</v>
      </c>
    </row>
    <row r="104" spans="1:9">
      <c r="A104" t="s">
        <v>146</v>
      </c>
      <c r="B104" s="2">
        <v>45996</v>
      </c>
      <c r="C104" t="s">
        <v>4</v>
      </c>
      <c r="D104" t="s">
        <v>11</v>
      </c>
      <c r="E104" t="s">
        <v>33</v>
      </c>
      <c r="F104">
        <v>6</v>
      </c>
      <c r="G104" s="3">
        <v>856.68</v>
      </c>
      <c r="H104" s="3">
        <f>F104*G104</f>
        <v>5140.08</v>
      </c>
      <c r="I104" t="str">
        <f t="shared" si="2"/>
        <v>Dec</v>
      </c>
    </row>
    <row r="105" spans="1:9">
      <c r="A105" t="s">
        <v>147</v>
      </c>
      <c r="B105" s="2">
        <v>45908</v>
      </c>
      <c r="C105" t="s">
        <v>2</v>
      </c>
      <c r="D105" t="s">
        <v>9</v>
      </c>
      <c r="E105" t="s">
        <v>54</v>
      </c>
      <c r="F105">
        <v>1</v>
      </c>
      <c r="G105" s="3">
        <v>260.14</v>
      </c>
      <c r="H105" s="3">
        <f>F105*G105</f>
        <v>260.14</v>
      </c>
      <c r="I105" t="str">
        <f t="shared" si="2"/>
        <v>Sep</v>
      </c>
    </row>
    <row r="106" spans="1:9">
      <c r="A106" t="s">
        <v>148</v>
      </c>
      <c r="B106" s="2">
        <v>45880</v>
      </c>
      <c r="C106" t="s">
        <v>3</v>
      </c>
      <c r="D106" t="s">
        <v>10</v>
      </c>
      <c r="E106" t="s">
        <v>48</v>
      </c>
      <c r="F106">
        <v>8</v>
      </c>
      <c r="G106" s="3">
        <v>9.4499999999999993</v>
      </c>
      <c r="H106" s="3">
        <f>F106*G106</f>
        <v>75.599999999999994</v>
      </c>
      <c r="I106" t="str">
        <f t="shared" si="2"/>
        <v>Aug</v>
      </c>
    </row>
    <row r="107" spans="1:9">
      <c r="A107" t="s">
        <v>149</v>
      </c>
      <c r="B107" s="2">
        <v>45961</v>
      </c>
      <c r="C107" t="s">
        <v>4</v>
      </c>
      <c r="D107" t="s">
        <v>11</v>
      </c>
      <c r="E107" t="s">
        <v>45</v>
      </c>
      <c r="F107">
        <v>8</v>
      </c>
      <c r="G107" s="3">
        <v>44.62</v>
      </c>
      <c r="H107" s="3">
        <f>F107*G107</f>
        <v>356.96</v>
      </c>
      <c r="I107" t="str">
        <f t="shared" si="2"/>
        <v>Oct</v>
      </c>
    </row>
    <row r="108" spans="1:9">
      <c r="A108" t="s">
        <v>150</v>
      </c>
      <c r="B108" s="2">
        <v>45888</v>
      </c>
      <c r="C108" t="s">
        <v>3</v>
      </c>
      <c r="D108" t="s">
        <v>10</v>
      </c>
      <c r="E108" t="s">
        <v>79</v>
      </c>
      <c r="F108">
        <v>2</v>
      </c>
      <c r="G108" s="3">
        <v>11.36</v>
      </c>
      <c r="H108" s="3">
        <f>F108*G108</f>
        <v>22.72</v>
      </c>
      <c r="I108" t="str">
        <f t="shared" si="2"/>
        <v>Aug</v>
      </c>
    </row>
    <row r="109" spans="1:9">
      <c r="A109" t="s">
        <v>151</v>
      </c>
      <c r="B109" s="2">
        <v>45824</v>
      </c>
      <c r="C109" t="s">
        <v>3</v>
      </c>
      <c r="D109" t="s">
        <v>10</v>
      </c>
      <c r="E109" t="s">
        <v>70</v>
      </c>
      <c r="F109">
        <v>6</v>
      </c>
      <c r="G109" s="3">
        <v>6.21</v>
      </c>
      <c r="H109" s="3">
        <f>F109*G109</f>
        <v>37.26</v>
      </c>
      <c r="I109" t="str">
        <f t="shared" si="2"/>
        <v>Jun</v>
      </c>
    </row>
    <row r="110" spans="1:9">
      <c r="A110" t="s">
        <v>152</v>
      </c>
      <c r="B110" s="2">
        <v>45832</v>
      </c>
      <c r="C110" t="s">
        <v>4</v>
      </c>
      <c r="D110" t="s">
        <v>10</v>
      </c>
      <c r="E110" t="s">
        <v>79</v>
      </c>
      <c r="F110">
        <v>6</v>
      </c>
      <c r="G110" s="3">
        <v>12.86</v>
      </c>
      <c r="H110" s="3">
        <f>F110*G110</f>
        <v>77.16</v>
      </c>
      <c r="I110" t="str">
        <f t="shared" si="2"/>
        <v>Jun</v>
      </c>
    </row>
    <row r="111" spans="1:9">
      <c r="A111" t="s">
        <v>153</v>
      </c>
      <c r="B111" s="2">
        <v>45755</v>
      </c>
      <c r="C111" t="s">
        <v>2</v>
      </c>
      <c r="D111" t="s">
        <v>11</v>
      </c>
      <c r="E111" t="s">
        <v>45</v>
      </c>
      <c r="F111">
        <v>1</v>
      </c>
      <c r="G111" s="3">
        <v>45.18</v>
      </c>
      <c r="H111" s="3">
        <f>F111*G111</f>
        <v>45.18</v>
      </c>
      <c r="I111" t="str">
        <f t="shared" si="2"/>
        <v>Apr</v>
      </c>
    </row>
    <row r="112" spans="1:9">
      <c r="A112" t="s">
        <v>154</v>
      </c>
      <c r="B112" s="2">
        <v>45781</v>
      </c>
      <c r="C112" t="s">
        <v>5</v>
      </c>
      <c r="D112" t="s">
        <v>9</v>
      </c>
      <c r="E112" t="s">
        <v>41</v>
      </c>
      <c r="F112">
        <v>8</v>
      </c>
      <c r="G112" s="3">
        <v>278.64</v>
      </c>
      <c r="H112" s="3">
        <f>F112*G112</f>
        <v>2229.12</v>
      </c>
      <c r="I112" t="str">
        <f t="shared" si="2"/>
        <v>May</v>
      </c>
    </row>
    <row r="113" spans="1:9">
      <c r="A113" t="s">
        <v>155</v>
      </c>
      <c r="B113" s="2">
        <v>45705</v>
      </c>
      <c r="C113" t="s">
        <v>4</v>
      </c>
      <c r="D113" t="s">
        <v>11</v>
      </c>
      <c r="E113" t="s">
        <v>39</v>
      </c>
      <c r="F113">
        <v>8</v>
      </c>
      <c r="G113" s="3">
        <v>203.36</v>
      </c>
      <c r="H113" s="3">
        <f>F113*G113</f>
        <v>1626.88</v>
      </c>
      <c r="I113" t="str">
        <f t="shared" si="2"/>
        <v>Feb</v>
      </c>
    </row>
    <row r="114" spans="1:9">
      <c r="A114" t="s">
        <v>156</v>
      </c>
      <c r="B114" s="2">
        <v>45955</v>
      </c>
      <c r="C114" t="s">
        <v>4</v>
      </c>
      <c r="D114" t="s">
        <v>9</v>
      </c>
      <c r="E114" t="s">
        <v>41</v>
      </c>
      <c r="F114">
        <v>4</v>
      </c>
      <c r="G114" s="3">
        <v>262.20999999999998</v>
      </c>
      <c r="H114" s="3">
        <f>F114*G114</f>
        <v>1048.8399999999999</v>
      </c>
      <c r="I114" t="str">
        <f t="shared" si="2"/>
        <v>Oct</v>
      </c>
    </row>
    <row r="115" spans="1:9">
      <c r="A115" t="s">
        <v>157</v>
      </c>
      <c r="B115" s="2">
        <v>45939</v>
      </c>
      <c r="C115" t="s">
        <v>4</v>
      </c>
      <c r="D115" t="s">
        <v>10</v>
      </c>
      <c r="E115" t="s">
        <v>48</v>
      </c>
      <c r="F115">
        <v>7</v>
      </c>
      <c r="G115" s="3">
        <v>10.07</v>
      </c>
      <c r="H115" s="3">
        <f>F115*G115</f>
        <v>70.490000000000009</v>
      </c>
      <c r="I115" t="str">
        <f t="shared" si="2"/>
        <v>Oct</v>
      </c>
    </row>
    <row r="116" spans="1:9">
      <c r="A116" t="s">
        <v>158</v>
      </c>
      <c r="B116" s="2">
        <v>45776</v>
      </c>
      <c r="C116" t="s">
        <v>2</v>
      </c>
      <c r="D116" t="s">
        <v>10</v>
      </c>
      <c r="E116" t="s">
        <v>70</v>
      </c>
      <c r="F116">
        <v>5</v>
      </c>
      <c r="G116" s="3">
        <v>6.68</v>
      </c>
      <c r="H116" s="3">
        <f>F116*G116</f>
        <v>33.4</v>
      </c>
      <c r="I116" t="str">
        <f t="shared" si="2"/>
        <v>Apr</v>
      </c>
    </row>
    <row r="117" spans="1:9">
      <c r="A117" t="s">
        <v>159</v>
      </c>
      <c r="B117" s="2">
        <v>45932</v>
      </c>
      <c r="C117" t="s">
        <v>3</v>
      </c>
      <c r="D117" t="s">
        <v>11</v>
      </c>
      <c r="E117" t="s">
        <v>51</v>
      </c>
      <c r="F117">
        <v>6</v>
      </c>
      <c r="G117" s="3">
        <v>236.26</v>
      </c>
      <c r="H117" s="3">
        <f>F117*G117</f>
        <v>1417.56</v>
      </c>
      <c r="I117" t="str">
        <f t="shared" si="2"/>
        <v>Oct</v>
      </c>
    </row>
    <row r="118" spans="1:9">
      <c r="A118" t="s">
        <v>160</v>
      </c>
      <c r="B118" s="2">
        <v>45959</v>
      </c>
      <c r="C118" t="s">
        <v>4</v>
      </c>
      <c r="D118" t="s">
        <v>9</v>
      </c>
      <c r="E118" t="s">
        <v>37</v>
      </c>
      <c r="F118">
        <v>8</v>
      </c>
      <c r="G118" s="3">
        <v>302.83999999999997</v>
      </c>
      <c r="H118" s="3">
        <f>F118*G118</f>
        <v>2422.7199999999998</v>
      </c>
      <c r="I118" t="str">
        <f t="shared" si="2"/>
        <v>Oct</v>
      </c>
    </row>
    <row r="119" spans="1:9">
      <c r="A119" t="s">
        <v>161</v>
      </c>
      <c r="B119" s="2">
        <v>45749</v>
      </c>
      <c r="C119" t="s">
        <v>4</v>
      </c>
      <c r="D119" t="s">
        <v>9</v>
      </c>
      <c r="E119" t="s">
        <v>37</v>
      </c>
      <c r="F119">
        <v>5</v>
      </c>
      <c r="G119" s="3">
        <v>299.07</v>
      </c>
      <c r="H119" s="3">
        <f>F119*G119</f>
        <v>1495.35</v>
      </c>
      <c r="I119" t="str">
        <f t="shared" si="2"/>
        <v>Apr</v>
      </c>
    </row>
    <row r="120" spans="1:9">
      <c r="A120" t="s">
        <v>162</v>
      </c>
      <c r="B120" s="2">
        <v>45685</v>
      </c>
      <c r="C120" t="s">
        <v>4</v>
      </c>
      <c r="D120" t="s">
        <v>9</v>
      </c>
      <c r="E120" t="s">
        <v>37</v>
      </c>
      <c r="F120">
        <v>5</v>
      </c>
      <c r="G120" s="3">
        <v>285.10000000000002</v>
      </c>
      <c r="H120" s="3">
        <f>F120*G120</f>
        <v>1425.5</v>
      </c>
      <c r="I120" t="str">
        <f t="shared" si="2"/>
        <v>Jan</v>
      </c>
    </row>
    <row r="121" spans="1:9">
      <c r="A121" t="s">
        <v>163</v>
      </c>
      <c r="B121" s="2">
        <v>45664</v>
      </c>
      <c r="C121" t="s">
        <v>4</v>
      </c>
      <c r="D121" t="s">
        <v>11</v>
      </c>
      <c r="E121" t="s">
        <v>51</v>
      </c>
      <c r="F121">
        <v>8</v>
      </c>
      <c r="G121" s="3">
        <v>235.2</v>
      </c>
      <c r="H121" s="3">
        <f>F121*G121</f>
        <v>1881.6</v>
      </c>
      <c r="I121" t="str">
        <f t="shared" si="2"/>
        <v>Jan</v>
      </c>
    </row>
    <row r="122" spans="1:9">
      <c r="A122" t="s">
        <v>164</v>
      </c>
      <c r="B122" s="2">
        <v>45684</v>
      </c>
      <c r="C122" t="s">
        <v>4</v>
      </c>
      <c r="D122" t="s">
        <v>10</v>
      </c>
      <c r="E122" t="s">
        <v>70</v>
      </c>
      <c r="F122">
        <v>8</v>
      </c>
      <c r="G122" s="3">
        <v>6.73</v>
      </c>
      <c r="H122" s="3">
        <f>F122*G122</f>
        <v>53.84</v>
      </c>
      <c r="I122" t="str">
        <f t="shared" si="2"/>
        <v>Jan</v>
      </c>
    </row>
    <row r="123" spans="1:9">
      <c r="A123" t="s">
        <v>165</v>
      </c>
      <c r="B123" s="2">
        <v>45695</v>
      </c>
      <c r="C123" t="s">
        <v>2</v>
      </c>
      <c r="D123" t="s">
        <v>10</v>
      </c>
      <c r="E123" t="s">
        <v>91</v>
      </c>
      <c r="F123">
        <v>2</v>
      </c>
      <c r="G123" s="3">
        <v>17.57</v>
      </c>
      <c r="H123" s="3">
        <f>F123*G123</f>
        <v>35.14</v>
      </c>
      <c r="I123" t="str">
        <f t="shared" si="2"/>
        <v>Feb</v>
      </c>
    </row>
    <row r="124" spans="1:9">
      <c r="A124" t="s">
        <v>166</v>
      </c>
      <c r="B124" s="2">
        <v>45785</v>
      </c>
      <c r="C124" t="s">
        <v>2</v>
      </c>
      <c r="D124" t="s">
        <v>9</v>
      </c>
      <c r="E124" t="s">
        <v>37</v>
      </c>
      <c r="F124">
        <v>5</v>
      </c>
      <c r="G124" s="3">
        <v>288.14</v>
      </c>
      <c r="H124" s="3">
        <f>F124*G124</f>
        <v>1440.6999999999998</v>
      </c>
      <c r="I124" t="str">
        <f t="shared" si="2"/>
        <v>May</v>
      </c>
    </row>
    <row r="125" spans="1:9">
      <c r="A125" t="s">
        <v>167</v>
      </c>
      <c r="B125" s="2">
        <v>45852</v>
      </c>
      <c r="C125" t="s">
        <v>5</v>
      </c>
      <c r="D125" t="s">
        <v>11</v>
      </c>
      <c r="E125" t="s">
        <v>39</v>
      </c>
      <c r="F125">
        <v>4</v>
      </c>
      <c r="G125" s="3">
        <v>202.57</v>
      </c>
      <c r="H125" s="3">
        <f>F125*G125</f>
        <v>810.28</v>
      </c>
      <c r="I125" t="str">
        <f t="shared" si="2"/>
        <v>Jul</v>
      </c>
    </row>
    <row r="126" spans="1:9">
      <c r="A126" t="s">
        <v>168</v>
      </c>
      <c r="B126" s="2">
        <v>45975</v>
      </c>
      <c r="C126" t="s">
        <v>2</v>
      </c>
      <c r="D126" t="s">
        <v>10</v>
      </c>
      <c r="E126" t="s">
        <v>48</v>
      </c>
      <c r="F126">
        <v>7</v>
      </c>
      <c r="G126" s="3">
        <v>8.58</v>
      </c>
      <c r="H126" s="3">
        <f>F126*G126</f>
        <v>60.06</v>
      </c>
      <c r="I126" t="str">
        <f t="shared" si="2"/>
        <v>Nov</v>
      </c>
    </row>
    <row r="127" spans="1:9">
      <c r="A127" t="s">
        <v>169</v>
      </c>
      <c r="B127" s="2">
        <v>45793</v>
      </c>
      <c r="C127" t="s">
        <v>2</v>
      </c>
      <c r="D127" t="s">
        <v>11</v>
      </c>
      <c r="E127" t="s">
        <v>33</v>
      </c>
      <c r="F127">
        <v>4</v>
      </c>
      <c r="G127" s="3">
        <v>875.61</v>
      </c>
      <c r="H127" s="3">
        <f>F127*G127</f>
        <v>3502.44</v>
      </c>
      <c r="I127" t="str">
        <f t="shared" si="2"/>
        <v>May</v>
      </c>
    </row>
    <row r="128" spans="1:9">
      <c r="A128" t="s">
        <v>170</v>
      </c>
      <c r="B128" s="2">
        <v>45738</v>
      </c>
      <c r="C128" t="s">
        <v>2</v>
      </c>
      <c r="D128" t="s">
        <v>9</v>
      </c>
      <c r="E128" t="s">
        <v>37</v>
      </c>
      <c r="F128">
        <v>3</v>
      </c>
      <c r="G128" s="3">
        <v>323.99</v>
      </c>
      <c r="H128" s="3">
        <f>F128*G128</f>
        <v>971.97</v>
      </c>
      <c r="I128" t="str">
        <f t="shared" si="2"/>
        <v>Mar</v>
      </c>
    </row>
    <row r="129" spans="1:9">
      <c r="A129" t="s">
        <v>171</v>
      </c>
      <c r="B129" s="2">
        <v>45776</v>
      </c>
      <c r="C129" t="s">
        <v>4</v>
      </c>
      <c r="D129" t="s">
        <v>10</v>
      </c>
      <c r="E129" t="s">
        <v>70</v>
      </c>
      <c r="F129">
        <v>8</v>
      </c>
      <c r="G129" s="3">
        <v>6.65</v>
      </c>
      <c r="H129" s="3">
        <f>F129*G129</f>
        <v>53.2</v>
      </c>
      <c r="I129" t="str">
        <f t="shared" si="2"/>
        <v>Apr</v>
      </c>
    </row>
    <row r="130" spans="1:9">
      <c r="A130" t="s">
        <v>172</v>
      </c>
      <c r="B130" s="2">
        <v>45777</v>
      </c>
      <c r="C130" t="s">
        <v>4</v>
      </c>
      <c r="D130" t="s">
        <v>11</v>
      </c>
      <c r="E130" t="s">
        <v>45</v>
      </c>
      <c r="F130">
        <v>8</v>
      </c>
      <c r="G130" s="3">
        <v>40.369999999999997</v>
      </c>
      <c r="H130" s="3">
        <f>F130*G130</f>
        <v>322.95999999999998</v>
      </c>
      <c r="I130" t="str">
        <f t="shared" ref="I130:I193" si="3">TEXT(B130,"mmm")</f>
        <v>Apr</v>
      </c>
    </row>
    <row r="131" spans="1:9">
      <c r="A131" t="s">
        <v>173</v>
      </c>
      <c r="B131" s="2">
        <v>45773</v>
      </c>
      <c r="C131" t="s">
        <v>3</v>
      </c>
      <c r="D131" t="s">
        <v>11</v>
      </c>
      <c r="E131" t="s">
        <v>51</v>
      </c>
      <c r="F131">
        <v>7</v>
      </c>
      <c r="G131" s="3">
        <v>235.96</v>
      </c>
      <c r="H131" s="3">
        <f>F131*G131</f>
        <v>1651.72</v>
      </c>
      <c r="I131" t="str">
        <f t="shared" si="3"/>
        <v>Apr</v>
      </c>
    </row>
    <row r="132" spans="1:9">
      <c r="A132" t="s">
        <v>174</v>
      </c>
      <c r="B132" s="2">
        <v>45815</v>
      </c>
      <c r="C132" t="s">
        <v>4</v>
      </c>
      <c r="D132" t="s">
        <v>10</v>
      </c>
      <c r="E132" t="s">
        <v>79</v>
      </c>
      <c r="F132">
        <v>2</v>
      </c>
      <c r="G132" s="3">
        <v>10.73</v>
      </c>
      <c r="H132" s="3">
        <f>F132*G132</f>
        <v>21.46</v>
      </c>
      <c r="I132" t="str">
        <f t="shared" si="3"/>
        <v>Jun</v>
      </c>
    </row>
    <row r="133" spans="1:9">
      <c r="A133" t="s">
        <v>175</v>
      </c>
      <c r="B133" s="2">
        <v>46016</v>
      </c>
      <c r="C133" t="s">
        <v>5</v>
      </c>
      <c r="D133" t="s">
        <v>10</v>
      </c>
      <c r="E133" t="s">
        <v>91</v>
      </c>
      <c r="F133">
        <v>8</v>
      </c>
      <c r="G133" s="3">
        <v>18.82</v>
      </c>
      <c r="H133" s="3">
        <f>F133*G133</f>
        <v>150.56</v>
      </c>
      <c r="I133" t="str">
        <f t="shared" si="3"/>
        <v>Dec</v>
      </c>
    </row>
    <row r="134" spans="1:9">
      <c r="A134" t="s">
        <v>176</v>
      </c>
      <c r="B134" s="2">
        <v>45678</v>
      </c>
      <c r="C134" t="s">
        <v>5</v>
      </c>
      <c r="D134" t="s">
        <v>10</v>
      </c>
      <c r="E134" t="s">
        <v>70</v>
      </c>
      <c r="F134">
        <v>8</v>
      </c>
      <c r="G134" s="3">
        <v>6.3</v>
      </c>
      <c r="H134" s="3">
        <f>F134*G134</f>
        <v>50.4</v>
      </c>
      <c r="I134" t="str">
        <f t="shared" si="3"/>
        <v>Jan</v>
      </c>
    </row>
    <row r="135" spans="1:9">
      <c r="A135" t="s">
        <v>177</v>
      </c>
      <c r="B135" s="2">
        <v>45775</v>
      </c>
      <c r="C135" t="s">
        <v>2</v>
      </c>
      <c r="D135" t="s">
        <v>11</v>
      </c>
      <c r="E135" t="s">
        <v>45</v>
      </c>
      <c r="F135">
        <v>5</v>
      </c>
      <c r="G135" s="3">
        <v>39.880000000000003</v>
      </c>
      <c r="H135" s="3">
        <f>F135*G135</f>
        <v>199.4</v>
      </c>
      <c r="I135" t="str">
        <f t="shared" si="3"/>
        <v>Apr</v>
      </c>
    </row>
    <row r="136" spans="1:9">
      <c r="A136" t="s">
        <v>178</v>
      </c>
      <c r="B136" s="2">
        <v>45747</v>
      </c>
      <c r="C136" t="s">
        <v>5</v>
      </c>
      <c r="D136" t="s">
        <v>11</v>
      </c>
      <c r="E136" t="s">
        <v>45</v>
      </c>
      <c r="F136">
        <v>1</v>
      </c>
      <c r="G136" s="3">
        <v>47.84</v>
      </c>
      <c r="H136" s="3">
        <f>F136*G136</f>
        <v>47.84</v>
      </c>
      <c r="I136" t="str">
        <f t="shared" si="3"/>
        <v>Mar</v>
      </c>
    </row>
    <row r="137" spans="1:9">
      <c r="A137" t="s">
        <v>179</v>
      </c>
      <c r="B137" s="2">
        <v>45957</v>
      </c>
      <c r="C137" t="s">
        <v>5</v>
      </c>
      <c r="D137" t="s">
        <v>11</v>
      </c>
      <c r="E137" t="s">
        <v>39</v>
      </c>
      <c r="F137">
        <v>5</v>
      </c>
      <c r="G137" s="3">
        <v>175.48</v>
      </c>
      <c r="H137" s="3">
        <f>F137*G137</f>
        <v>877.4</v>
      </c>
      <c r="I137" t="str">
        <f t="shared" si="3"/>
        <v>Oct</v>
      </c>
    </row>
    <row r="138" spans="1:9">
      <c r="A138" t="s">
        <v>180</v>
      </c>
      <c r="B138" s="2">
        <v>45867</v>
      </c>
      <c r="C138" t="s">
        <v>4</v>
      </c>
      <c r="D138" t="s">
        <v>11</v>
      </c>
      <c r="E138" t="s">
        <v>39</v>
      </c>
      <c r="F138">
        <v>2</v>
      </c>
      <c r="G138" s="3">
        <v>188.63</v>
      </c>
      <c r="H138" s="3">
        <f>F138*G138</f>
        <v>377.26</v>
      </c>
      <c r="I138" t="str">
        <f t="shared" si="3"/>
        <v>Jul</v>
      </c>
    </row>
    <row r="139" spans="1:9">
      <c r="A139" t="s">
        <v>181</v>
      </c>
      <c r="B139" s="2">
        <v>46013</v>
      </c>
      <c r="C139" t="s">
        <v>5</v>
      </c>
      <c r="D139" t="s">
        <v>10</v>
      </c>
      <c r="E139" t="s">
        <v>91</v>
      </c>
      <c r="F139">
        <v>3</v>
      </c>
      <c r="G139" s="3">
        <v>17.260000000000002</v>
      </c>
      <c r="H139" s="3">
        <f>F139*G139</f>
        <v>51.78</v>
      </c>
      <c r="I139" t="str">
        <f t="shared" si="3"/>
        <v>Dec</v>
      </c>
    </row>
    <row r="140" spans="1:9">
      <c r="A140" t="s">
        <v>182</v>
      </c>
      <c r="B140" s="2">
        <v>45819</v>
      </c>
      <c r="C140" t="s">
        <v>4</v>
      </c>
      <c r="D140" t="s">
        <v>10</v>
      </c>
      <c r="E140" t="s">
        <v>70</v>
      </c>
      <c r="F140">
        <v>1</v>
      </c>
      <c r="G140" s="3">
        <v>6.92</v>
      </c>
      <c r="H140" s="3">
        <f>F140*G140</f>
        <v>6.92</v>
      </c>
      <c r="I140" t="str">
        <f t="shared" si="3"/>
        <v>Jun</v>
      </c>
    </row>
    <row r="141" spans="1:9">
      <c r="A141" t="s">
        <v>183</v>
      </c>
      <c r="B141" s="2">
        <v>45658</v>
      </c>
      <c r="C141" t="s">
        <v>5</v>
      </c>
      <c r="D141" t="s">
        <v>10</v>
      </c>
      <c r="E141" t="s">
        <v>91</v>
      </c>
      <c r="F141">
        <v>7</v>
      </c>
      <c r="G141" s="3">
        <v>19.579999999999998</v>
      </c>
      <c r="H141" s="3">
        <f>F141*G141</f>
        <v>137.06</v>
      </c>
      <c r="I141" t="str">
        <f t="shared" si="3"/>
        <v>Jan</v>
      </c>
    </row>
    <row r="142" spans="1:9">
      <c r="A142" t="s">
        <v>184</v>
      </c>
      <c r="B142" s="2">
        <v>45976</v>
      </c>
      <c r="C142" t="s">
        <v>5</v>
      </c>
      <c r="D142" t="s">
        <v>10</v>
      </c>
      <c r="E142" t="s">
        <v>91</v>
      </c>
      <c r="F142">
        <v>4</v>
      </c>
      <c r="G142" s="3">
        <v>18.079999999999998</v>
      </c>
      <c r="H142" s="3">
        <f>F142*G142</f>
        <v>72.319999999999993</v>
      </c>
      <c r="I142" t="str">
        <f t="shared" si="3"/>
        <v>Nov</v>
      </c>
    </row>
    <row r="143" spans="1:9">
      <c r="A143" t="s">
        <v>185</v>
      </c>
      <c r="B143" s="2">
        <v>45939</v>
      </c>
      <c r="C143" t="s">
        <v>3</v>
      </c>
      <c r="D143" t="s">
        <v>11</v>
      </c>
      <c r="E143" t="s">
        <v>39</v>
      </c>
      <c r="F143">
        <v>1</v>
      </c>
      <c r="G143" s="3">
        <v>176.48</v>
      </c>
      <c r="H143" s="3">
        <f>F143*G143</f>
        <v>176.48</v>
      </c>
      <c r="I143" t="str">
        <f t="shared" si="3"/>
        <v>Oct</v>
      </c>
    </row>
    <row r="144" spans="1:9">
      <c r="A144" t="s">
        <v>186</v>
      </c>
      <c r="B144" s="2">
        <v>45980</v>
      </c>
      <c r="C144" t="s">
        <v>3</v>
      </c>
      <c r="D144" t="s">
        <v>10</v>
      </c>
      <c r="E144" t="s">
        <v>70</v>
      </c>
      <c r="F144">
        <v>8</v>
      </c>
      <c r="G144" s="3">
        <v>6.36</v>
      </c>
      <c r="H144" s="3">
        <f>F144*G144</f>
        <v>50.88</v>
      </c>
      <c r="I144" t="str">
        <f t="shared" si="3"/>
        <v>Nov</v>
      </c>
    </row>
    <row r="145" spans="1:9">
      <c r="A145" t="s">
        <v>187</v>
      </c>
      <c r="B145" s="2">
        <v>45940</v>
      </c>
      <c r="C145" t="s">
        <v>5</v>
      </c>
      <c r="D145" t="s">
        <v>11</v>
      </c>
      <c r="E145" t="s">
        <v>51</v>
      </c>
      <c r="F145">
        <v>5</v>
      </c>
      <c r="G145" s="3">
        <v>263.17</v>
      </c>
      <c r="H145" s="3">
        <f>F145*G145</f>
        <v>1315.8500000000001</v>
      </c>
      <c r="I145" t="str">
        <f t="shared" si="3"/>
        <v>Oct</v>
      </c>
    </row>
    <row r="146" spans="1:9">
      <c r="A146" t="s">
        <v>188</v>
      </c>
      <c r="B146" s="2">
        <v>45718</v>
      </c>
      <c r="C146" t="s">
        <v>3</v>
      </c>
      <c r="D146" t="s">
        <v>9</v>
      </c>
      <c r="E146" t="s">
        <v>37</v>
      </c>
      <c r="F146">
        <v>2</v>
      </c>
      <c r="G146" s="3">
        <v>317.04000000000002</v>
      </c>
      <c r="H146" s="3">
        <f>F146*G146</f>
        <v>634.08000000000004</v>
      </c>
      <c r="I146" t="str">
        <f t="shared" si="3"/>
        <v>Mar</v>
      </c>
    </row>
    <row r="147" spans="1:9">
      <c r="A147" t="s">
        <v>189</v>
      </c>
      <c r="B147" s="2">
        <v>45905</v>
      </c>
      <c r="C147" t="s">
        <v>5</v>
      </c>
      <c r="D147" t="s">
        <v>10</v>
      </c>
      <c r="E147" t="s">
        <v>48</v>
      </c>
      <c r="F147">
        <v>5</v>
      </c>
      <c r="G147" s="3">
        <v>8.82</v>
      </c>
      <c r="H147" s="3">
        <f>F147*G147</f>
        <v>44.1</v>
      </c>
      <c r="I147" t="str">
        <f t="shared" si="3"/>
        <v>Sep</v>
      </c>
    </row>
    <row r="148" spans="1:9">
      <c r="A148" t="s">
        <v>190</v>
      </c>
      <c r="B148" s="2">
        <v>45964</v>
      </c>
      <c r="C148" t="s">
        <v>3</v>
      </c>
      <c r="D148" t="s">
        <v>9</v>
      </c>
      <c r="E148" t="s">
        <v>41</v>
      </c>
      <c r="F148">
        <v>3</v>
      </c>
      <c r="G148" s="3">
        <v>267.32</v>
      </c>
      <c r="H148" s="3">
        <f>F148*G148</f>
        <v>801.96</v>
      </c>
      <c r="I148" t="str">
        <f t="shared" si="3"/>
        <v>Nov</v>
      </c>
    </row>
    <row r="149" spans="1:9">
      <c r="A149" t="s">
        <v>191</v>
      </c>
      <c r="B149" s="2">
        <v>45917</v>
      </c>
      <c r="C149" t="s">
        <v>4</v>
      </c>
      <c r="D149" t="s">
        <v>9</v>
      </c>
      <c r="E149" t="s">
        <v>54</v>
      </c>
      <c r="F149">
        <v>7</v>
      </c>
      <c r="G149" s="3">
        <v>230.78</v>
      </c>
      <c r="H149" s="3">
        <f>F149*G149</f>
        <v>1615.46</v>
      </c>
      <c r="I149" t="str">
        <f t="shared" si="3"/>
        <v>Sep</v>
      </c>
    </row>
    <row r="150" spans="1:9">
      <c r="A150" t="s">
        <v>192</v>
      </c>
      <c r="B150" s="2">
        <v>45954</v>
      </c>
      <c r="C150" t="s">
        <v>5</v>
      </c>
      <c r="D150" t="s">
        <v>9</v>
      </c>
      <c r="E150" t="s">
        <v>54</v>
      </c>
      <c r="F150">
        <v>5</v>
      </c>
      <c r="G150" s="3">
        <v>259.44</v>
      </c>
      <c r="H150" s="3">
        <f>F150*G150</f>
        <v>1297.2</v>
      </c>
      <c r="I150" t="str">
        <f t="shared" si="3"/>
        <v>Oct</v>
      </c>
    </row>
    <row r="151" spans="1:9">
      <c r="A151" t="s">
        <v>193</v>
      </c>
      <c r="B151" s="2">
        <v>45940</v>
      </c>
      <c r="C151" t="s">
        <v>5</v>
      </c>
      <c r="D151" t="s">
        <v>9</v>
      </c>
      <c r="E151" t="s">
        <v>41</v>
      </c>
      <c r="F151">
        <v>8</v>
      </c>
      <c r="G151" s="3">
        <v>264.77999999999997</v>
      </c>
      <c r="H151" s="3">
        <f>F151*G151</f>
        <v>2118.2399999999998</v>
      </c>
      <c r="I151" t="str">
        <f t="shared" si="3"/>
        <v>Oct</v>
      </c>
    </row>
    <row r="152" spans="1:9">
      <c r="A152" t="s">
        <v>194</v>
      </c>
      <c r="B152" s="2">
        <v>45780</v>
      </c>
      <c r="C152" t="s">
        <v>5</v>
      </c>
      <c r="D152" t="s">
        <v>10</v>
      </c>
      <c r="E152" t="s">
        <v>48</v>
      </c>
      <c r="F152">
        <v>4</v>
      </c>
      <c r="G152" s="3">
        <v>10.039999999999999</v>
      </c>
      <c r="H152" s="3">
        <f>F152*G152</f>
        <v>40.159999999999997</v>
      </c>
      <c r="I152" t="str">
        <f t="shared" si="3"/>
        <v>May</v>
      </c>
    </row>
    <row r="153" spans="1:9">
      <c r="A153" t="s">
        <v>195</v>
      </c>
      <c r="B153" s="2">
        <v>45900</v>
      </c>
      <c r="C153" t="s">
        <v>5</v>
      </c>
      <c r="D153" t="s">
        <v>9</v>
      </c>
      <c r="E153" t="s">
        <v>41</v>
      </c>
      <c r="F153">
        <v>1</v>
      </c>
      <c r="G153" s="3">
        <v>263</v>
      </c>
      <c r="H153" s="3">
        <f>F153*G153</f>
        <v>263</v>
      </c>
      <c r="I153" t="str">
        <f t="shared" si="3"/>
        <v>Aug</v>
      </c>
    </row>
    <row r="154" spans="1:9">
      <c r="A154" t="s">
        <v>196</v>
      </c>
      <c r="B154" s="2">
        <v>45722</v>
      </c>
      <c r="C154" t="s">
        <v>4</v>
      </c>
      <c r="D154" t="s">
        <v>10</v>
      </c>
      <c r="E154" t="s">
        <v>79</v>
      </c>
      <c r="F154">
        <v>8</v>
      </c>
      <c r="G154" s="3">
        <v>13.34</v>
      </c>
      <c r="H154" s="3">
        <f>F154*G154</f>
        <v>106.72</v>
      </c>
      <c r="I154" t="str">
        <f t="shared" si="3"/>
        <v>Mar</v>
      </c>
    </row>
    <row r="155" spans="1:9">
      <c r="A155" t="s">
        <v>197</v>
      </c>
      <c r="B155" s="2">
        <v>45891</v>
      </c>
      <c r="C155" t="s">
        <v>2</v>
      </c>
      <c r="D155" t="s">
        <v>9</v>
      </c>
      <c r="E155" t="s">
        <v>41</v>
      </c>
      <c r="F155">
        <v>2</v>
      </c>
      <c r="G155" s="3">
        <v>276.70999999999998</v>
      </c>
      <c r="H155" s="3">
        <f>F155*G155</f>
        <v>553.41999999999996</v>
      </c>
      <c r="I155" t="str">
        <f t="shared" si="3"/>
        <v>Aug</v>
      </c>
    </row>
    <row r="156" spans="1:9">
      <c r="A156" t="s">
        <v>198</v>
      </c>
      <c r="B156" s="2">
        <v>45737</v>
      </c>
      <c r="C156" t="s">
        <v>2</v>
      </c>
      <c r="D156" t="s">
        <v>11</v>
      </c>
      <c r="E156" t="s">
        <v>51</v>
      </c>
      <c r="F156">
        <v>7</v>
      </c>
      <c r="G156" s="3">
        <v>283.14999999999998</v>
      </c>
      <c r="H156" s="3">
        <f>F156*G156</f>
        <v>1982.0499999999997</v>
      </c>
      <c r="I156" t="str">
        <f t="shared" si="3"/>
        <v>Mar</v>
      </c>
    </row>
    <row r="157" spans="1:9">
      <c r="A157" t="s">
        <v>199</v>
      </c>
      <c r="B157" s="2">
        <v>45861</v>
      </c>
      <c r="C157" t="s">
        <v>2</v>
      </c>
      <c r="D157" t="s">
        <v>10</v>
      </c>
      <c r="E157" t="s">
        <v>48</v>
      </c>
      <c r="F157">
        <v>6</v>
      </c>
      <c r="G157" s="3">
        <v>9.27</v>
      </c>
      <c r="H157" s="3">
        <f>F157*G157</f>
        <v>55.62</v>
      </c>
      <c r="I157" t="str">
        <f t="shared" si="3"/>
        <v>Jul</v>
      </c>
    </row>
    <row r="158" spans="1:9">
      <c r="A158" t="s">
        <v>200</v>
      </c>
      <c r="B158" s="2">
        <v>45907</v>
      </c>
      <c r="C158" t="s">
        <v>2</v>
      </c>
      <c r="D158" t="s">
        <v>10</v>
      </c>
      <c r="E158" t="s">
        <v>70</v>
      </c>
      <c r="F158">
        <v>6</v>
      </c>
      <c r="G158" s="3">
        <v>7.21</v>
      </c>
      <c r="H158" s="3">
        <f>F158*G158</f>
        <v>43.26</v>
      </c>
      <c r="I158" t="str">
        <f t="shared" si="3"/>
        <v>Sep</v>
      </c>
    </row>
    <row r="159" spans="1:9">
      <c r="A159" t="s">
        <v>201</v>
      </c>
      <c r="B159" s="2">
        <v>45805</v>
      </c>
      <c r="C159" t="s">
        <v>3</v>
      </c>
      <c r="D159" t="s">
        <v>11</v>
      </c>
      <c r="E159" t="s">
        <v>33</v>
      </c>
      <c r="F159">
        <v>4</v>
      </c>
      <c r="G159" s="3">
        <v>876.76</v>
      </c>
      <c r="H159" s="3">
        <f>F159*G159</f>
        <v>3507.04</v>
      </c>
      <c r="I159" t="str">
        <f t="shared" si="3"/>
        <v>May</v>
      </c>
    </row>
    <row r="160" spans="1:9">
      <c r="A160" t="s">
        <v>202</v>
      </c>
      <c r="B160" s="2">
        <v>45982</v>
      </c>
      <c r="C160" t="s">
        <v>2</v>
      </c>
      <c r="D160" t="s">
        <v>11</v>
      </c>
      <c r="E160" t="s">
        <v>33</v>
      </c>
      <c r="F160">
        <v>7</v>
      </c>
      <c r="G160" s="3">
        <v>947.58</v>
      </c>
      <c r="H160" s="3">
        <f>F160*G160</f>
        <v>6633.06</v>
      </c>
      <c r="I160" t="str">
        <f t="shared" si="3"/>
        <v>Nov</v>
      </c>
    </row>
    <row r="161" spans="1:9">
      <c r="A161" t="s">
        <v>203</v>
      </c>
      <c r="B161" s="2">
        <v>45681</v>
      </c>
      <c r="C161" t="s">
        <v>4</v>
      </c>
      <c r="D161" t="s">
        <v>10</v>
      </c>
      <c r="E161" t="s">
        <v>79</v>
      </c>
      <c r="F161">
        <v>5</v>
      </c>
      <c r="G161" s="3">
        <v>13.16</v>
      </c>
      <c r="H161" s="3">
        <f>F161*G161</f>
        <v>65.8</v>
      </c>
      <c r="I161" t="str">
        <f t="shared" si="3"/>
        <v>Jan</v>
      </c>
    </row>
    <row r="162" spans="1:9">
      <c r="A162" t="s">
        <v>204</v>
      </c>
      <c r="B162" s="2">
        <v>45732</v>
      </c>
      <c r="C162" t="s">
        <v>3</v>
      </c>
      <c r="D162" t="s">
        <v>9</v>
      </c>
      <c r="E162" t="s">
        <v>54</v>
      </c>
      <c r="F162">
        <v>6</v>
      </c>
      <c r="G162" s="3">
        <v>232.79</v>
      </c>
      <c r="H162" s="3">
        <f>F162*G162</f>
        <v>1396.74</v>
      </c>
      <c r="I162" t="str">
        <f t="shared" si="3"/>
        <v>Mar</v>
      </c>
    </row>
    <row r="163" spans="1:9">
      <c r="A163" t="s">
        <v>205</v>
      </c>
      <c r="B163" s="2">
        <v>45698</v>
      </c>
      <c r="C163" t="s">
        <v>5</v>
      </c>
      <c r="D163" t="s">
        <v>11</v>
      </c>
      <c r="E163" t="s">
        <v>39</v>
      </c>
      <c r="F163">
        <v>3</v>
      </c>
      <c r="G163" s="3">
        <v>174.95</v>
      </c>
      <c r="H163" s="3">
        <f>F163*G163</f>
        <v>524.84999999999991</v>
      </c>
      <c r="I163" t="str">
        <f t="shared" si="3"/>
        <v>Feb</v>
      </c>
    </row>
    <row r="164" spans="1:9">
      <c r="A164" t="s">
        <v>206</v>
      </c>
      <c r="B164" s="2">
        <v>45731</v>
      </c>
      <c r="C164" t="s">
        <v>3</v>
      </c>
      <c r="D164" t="s">
        <v>11</v>
      </c>
      <c r="E164" t="s">
        <v>51</v>
      </c>
      <c r="F164">
        <v>8</v>
      </c>
      <c r="G164" s="3">
        <v>285.76</v>
      </c>
      <c r="H164" s="3">
        <f>F164*G164</f>
        <v>2286.08</v>
      </c>
      <c r="I164" t="str">
        <f t="shared" si="3"/>
        <v>Mar</v>
      </c>
    </row>
    <row r="165" spans="1:9">
      <c r="A165" t="s">
        <v>207</v>
      </c>
      <c r="B165" s="2">
        <v>45662</v>
      </c>
      <c r="C165" t="s">
        <v>5</v>
      </c>
      <c r="D165" t="s">
        <v>10</v>
      </c>
      <c r="E165" t="s">
        <v>48</v>
      </c>
      <c r="F165">
        <v>8</v>
      </c>
      <c r="G165" s="3">
        <v>8.4700000000000006</v>
      </c>
      <c r="H165" s="3">
        <f>F165*G165</f>
        <v>67.760000000000005</v>
      </c>
      <c r="I165" t="str">
        <f t="shared" si="3"/>
        <v>Jan</v>
      </c>
    </row>
    <row r="166" spans="1:9">
      <c r="A166" t="s">
        <v>208</v>
      </c>
      <c r="B166" s="2">
        <v>45834</v>
      </c>
      <c r="C166" t="s">
        <v>4</v>
      </c>
      <c r="D166" t="s">
        <v>10</v>
      </c>
      <c r="E166" t="s">
        <v>79</v>
      </c>
      <c r="F166">
        <v>2</v>
      </c>
      <c r="G166" s="3">
        <v>11.83</v>
      </c>
      <c r="H166" s="3">
        <f>F166*G166</f>
        <v>23.66</v>
      </c>
      <c r="I166" t="str">
        <f t="shared" si="3"/>
        <v>Jun</v>
      </c>
    </row>
    <row r="167" spans="1:9">
      <c r="A167" t="s">
        <v>209</v>
      </c>
      <c r="B167" s="2">
        <v>45812</v>
      </c>
      <c r="C167" t="s">
        <v>3</v>
      </c>
      <c r="D167" t="s">
        <v>11</v>
      </c>
      <c r="E167" t="s">
        <v>39</v>
      </c>
      <c r="F167">
        <v>5</v>
      </c>
      <c r="G167" s="3">
        <v>188.03</v>
      </c>
      <c r="H167" s="3">
        <f>F167*G167</f>
        <v>940.15</v>
      </c>
      <c r="I167" t="str">
        <f t="shared" si="3"/>
        <v>Jun</v>
      </c>
    </row>
    <row r="168" spans="1:9">
      <c r="A168" t="s">
        <v>210</v>
      </c>
      <c r="B168" s="2">
        <v>45950</v>
      </c>
      <c r="C168" t="s">
        <v>4</v>
      </c>
      <c r="D168" t="s">
        <v>10</v>
      </c>
      <c r="E168" t="s">
        <v>70</v>
      </c>
      <c r="F168">
        <v>2</v>
      </c>
      <c r="G168" s="3">
        <v>6.56</v>
      </c>
      <c r="H168" s="3">
        <f>F168*G168</f>
        <v>13.12</v>
      </c>
      <c r="I168" t="str">
        <f t="shared" si="3"/>
        <v>Oct</v>
      </c>
    </row>
    <row r="169" spans="1:9">
      <c r="A169" t="s">
        <v>211</v>
      </c>
      <c r="B169" s="2">
        <v>45995</v>
      </c>
      <c r="C169" t="s">
        <v>5</v>
      </c>
      <c r="D169" t="s">
        <v>11</v>
      </c>
      <c r="E169" t="s">
        <v>45</v>
      </c>
      <c r="F169">
        <v>5</v>
      </c>
      <c r="G169" s="3">
        <v>39.840000000000003</v>
      </c>
      <c r="H169" s="3">
        <f>F169*G169</f>
        <v>199.20000000000002</v>
      </c>
      <c r="I169" t="str">
        <f t="shared" si="3"/>
        <v>Dec</v>
      </c>
    </row>
    <row r="170" spans="1:9">
      <c r="A170" t="s">
        <v>212</v>
      </c>
      <c r="B170" s="2">
        <v>45912</v>
      </c>
      <c r="C170" t="s">
        <v>4</v>
      </c>
      <c r="D170" t="s">
        <v>10</v>
      </c>
      <c r="E170" t="s">
        <v>91</v>
      </c>
      <c r="F170">
        <v>1</v>
      </c>
      <c r="G170" s="3">
        <v>19.77</v>
      </c>
      <c r="H170" s="3">
        <f>F170*G170</f>
        <v>19.77</v>
      </c>
      <c r="I170" t="str">
        <f t="shared" si="3"/>
        <v>Sep</v>
      </c>
    </row>
    <row r="171" spans="1:9">
      <c r="A171" t="s">
        <v>213</v>
      </c>
      <c r="B171" s="2">
        <v>45975</v>
      </c>
      <c r="C171" t="s">
        <v>4</v>
      </c>
      <c r="D171" t="s">
        <v>9</v>
      </c>
      <c r="E171" t="s">
        <v>54</v>
      </c>
      <c r="F171">
        <v>4</v>
      </c>
      <c r="G171" s="3">
        <v>247.87</v>
      </c>
      <c r="H171" s="3">
        <f>F171*G171</f>
        <v>991.48</v>
      </c>
      <c r="I171" t="str">
        <f t="shared" si="3"/>
        <v>Nov</v>
      </c>
    </row>
    <row r="172" spans="1:9">
      <c r="A172" t="s">
        <v>214</v>
      </c>
      <c r="B172" s="2">
        <v>45988</v>
      </c>
      <c r="C172" t="s">
        <v>2</v>
      </c>
      <c r="D172" t="s">
        <v>11</v>
      </c>
      <c r="E172" t="s">
        <v>51</v>
      </c>
      <c r="F172">
        <v>2</v>
      </c>
      <c r="G172" s="3">
        <v>285.17</v>
      </c>
      <c r="H172" s="3">
        <f>F172*G172</f>
        <v>570.34</v>
      </c>
      <c r="I172" t="str">
        <f t="shared" si="3"/>
        <v>Nov</v>
      </c>
    </row>
    <row r="173" spans="1:9">
      <c r="A173" t="s">
        <v>215</v>
      </c>
      <c r="B173" s="2">
        <v>45725</v>
      </c>
      <c r="C173" t="s">
        <v>2</v>
      </c>
      <c r="D173" t="s">
        <v>10</v>
      </c>
      <c r="E173" t="s">
        <v>70</v>
      </c>
      <c r="F173">
        <v>1</v>
      </c>
      <c r="G173" s="3">
        <v>7.13</v>
      </c>
      <c r="H173" s="3">
        <f>F173*G173</f>
        <v>7.13</v>
      </c>
      <c r="I173" t="str">
        <f t="shared" si="3"/>
        <v>Mar</v>
      </c>
    </row>
    <row r="174" spans="1:9">
      <c r="A174" t="s">
        <v>216</v>
      </c>
      <c r="B174" s="2">
        <v>45725</v>
      </c>
      <c r="C174" t="s">
        <v>4</v>
      </c>
      <c r="D174" t="s">
        <v>10</v>
      </c>
      <c r="E174" t="s">
        <v>48</v>
      </c>
      <c r="F174">
        <v>7</v>
      </c>
      <c r="G174" s="3">
        <v>8.3000000000000007</v>
      </c>
      <c r="H174" s="3">
        <f>F174*G174</f>
        <v>58.100000000000009</v>
      </c>
      <c r="I174" t="str">
        <f t="shared" si="3"/>
        <v>Mar</v>
      </c>
    </row>
    <row r="175" spans="1:9">
      <c r="A175" t="s">
        <v>217</v>
      </c>
      <c r="B175" s="2">
        <v>45904</v>
      </c>
      <c r="C175" t="s">
        <v>4</v>
      </c>
      <c r="D175" t="s">
        <v>11</v>
      </c>
      <c r="E175" t="s">
        <v>45</v>
      </c>
      <c r="F175">
        <v>3</v>
      </c>
      <c r="G175" s="3">
        <v>42.38</v>
      </c>
      <c r="H175" s="3">
        <f>F175*G175</f>
        <v>127.14000000000001</v>
      </c>
      <c r="I175" t="str">
        <f t="shared" si="3"/>
        <v>Sep</v>
      </c>
    </row>
    <row r="176" spans="1:9">
      <c r="A176" t="s">
        <v>218</v>
      </c>
      <c r="B176" s="2">
        <v>45696</v>
      </c>
      <c r="C176" t="s">
        <v>3</v>
      </c>
      <c r="D176" t="s">
        <v>11</v>
      </c>
      <c r="E176" t="s">
        <v>45</v>
      </c>
      <c r="F176">
        <v>2</v>
      </c>
      <c r="G176" s="3">
        <v>44.66</v>
      </c>
      <c r="H176" s="3">
        <f>F176*G176</f>
        <v>89.32</v>
      </c>
      <c r="I176" t="str">
        <f t="shared" si="3"/>
        <v>Feb</v>
      </c>
    </row>
    <row r="177" spans="1:9">
      <c r="A177" t="s">
        <v>219</v>
      </c>
      <c r="B177" s="2">
        <v>45860</v>
      </c>
      <c r="C177" t="s">
        <v>2</v>
      </c>
      <c r="D177" t="s">
        <v>9</v>
      </c>
      <c r="E177" t="s">
        <v>41</v>
      </c>
      <c r="F177">
        <v>6</v>
      </c>
      <c r="G177" s="3">
        <v>247.96</v>
      </c>
      <c r="H177" s="3">
        <f>F177*G177</f>
        <v>1487.76</v>
      </c>
      <c r="I177" t="str">
        <f t="shared" si="3"/>
        <v>Jul</v>
      </c>
    </row>
    <row r="178" spans="1:9">
      <c r="A178" t="s">
        <v>220</v>
      </c>
      <c r="B178" s="2">
        <v>46002</v>
      </c>
      <c r="C178" t="s">
        <v>4</v>
      </c>
      <c r="D178" t="s">
        <v>10</v>
      </c>
      <c r="E178" t="s">
        <v>91</v>
      </c>
      <c r="F178">
        <v>8</v>
      </c>
      <c r="G178" s="3">
        <v>17.43</v>
      </c>
      <c r="H178" s="3">
        <f>F178*G178</f>
        <v>139.44</v>
      </c>
      <c r="I178" t="str">
        <f t="shared" si="3"/>
        <v>Dec</v>
      </c>
    </row>
    <row r="179" spans="1:9">
      <c r="A179" t="s">
        <v>221</v>
      </c>
      <c r="B179" s="2">
        <v>45777</v>
      </c>
      <c r="C179" t="s">
        <v>5</v>
      </c>
      <c r="D179" t="s">
        <v>11</v>
      </c>
      <c r="E179" t="s">
        <v>39</v>
      </c>
      <c r="F179">
        <v>6</v>
      </c>
      <c r="G179" s="3">
        <v>172.14</v>
      </c>
      <c r="H179" s="3">
        <f>F179*G179</f>
        <v>1032.8399999999999</v>
      </c>
      <c r="I179" t="str">
        <f t="shared" si="3"/>
        <v>Apr</v>
      </c>
    </row>
    <row r="180" spans="1:9">
      <c r="A180" t="s">
        <v>222</v>
      </c>
      <c r="B180" s="2">
        <v>45983</v>
      </c>
      <c r="C180" t="s">
        <v>5</v>
      </c>
      <c r="D180" t="s">
        <v>9</v>
      </c>
      <c r="E180" t="s">
        <v>54</v>
      </c>
      <c r="F180">
        <v>4</v>
      </c>
      <c r="G180" s="3">
        <v>248.5</v>
      </c>
      <c r="H180" s="3">
        <f>F180*G180</f>
        <v>994</v>
      </c>
      <c r="I180" t="str">
        <f t="shared" si="3"/>
        <v>Nov</v>
      </c>
    </row>
    <row r="181" spans="1:9">
      <c r="A181" t="s">
        <v>223</v>
      </c>
      <c r="B181" s="2">
        <v>45681</v>
      </c>
      <c r="C181" t="s">
        <v>2</v>
      </c>
      <c r="D181" t="s">
        <v>11</v>
      </c>
      <c r="E181" t="s">
        <v>45</v>
      </c>
      <c r="F181">
        <v>7</v>
      </c>
      <c r="G181" s="3">
        <v>40.86</v>
      </c>
      <c r="H181" s="3">
        <f>F181*G181</f>
        <v>286.02</v>
      </c>
      <c r="I181" t="str">
        <f t="shared" si="3"/>
        <v>Jan</v>
      </c>
    </row>
    <row r="182" spans="1:9">
      <c r="A182" t="s">
        <v>224</v>
      </c>
      <c r="B182" s="2">
        <v>45933</v>
      </c>
      <c r="C182" t="s">
        <v>3</v>
      </c>
      <c r="D182" t="s">
        <v>10</v>
      </c>
      <c r="E182" t="s">
        <v>70</v>
      </c>
      <c r="F182">
        <v>2</v>
      </c>
      <c r="G182" s="3">
        <v>6.32</v>
      </c>
      <c r="H182" s="3">
        <f>F182*G182</f>
        <v>12.64</v>
      </c>
      <c r="I182" t="str">
        <f t="shared" si="3"/>
        <v>Oct</v>
      </c>
    </row>
    <row r="183" spans="1:9">
      <c r="A183" t="s">
        <v>225</v>
      </c>
      <c r="B183" s="2">
        <v>46014</v>
      </c>
      <c r="C183" t="s">
        <v>5</v>
      </c>
      <c r="D183" t="s">
        <v>10</v>
      </c>
      <c r="E183" t="s">
        <v>70</v>
      </c>
      <c r="F183">
        <v>6</v>
      </c>
      <c r="G183" s="3">
        <v>7.29</v>
      </c>
      <c r="H183" s="3">
        <f>F183*G183</f>
        <v>43.74</v>
      </c>
      <c r="I183" t="str">
        <f t="shared" si="3"/>
        <v>Dec</v>
      </c>
    </row>
    <row r="184" spans="1:9">
      <c r="A184" t="s">
        <v>226</v>
      </c>
      <c r="B184" s="2">
        <v>45908</v>
      </c>
      <c r="C184" t="s">
        <v>5</v>
      </c>
      <c r="D184" t="s">
        <v>11</v>
      </c>
      <c r="E184" t="s">
        <v>51</v>
      </c>
      <c r="F184">
        <v>7</v>
      </c>
      <c r="G184" s="3">
        <v>269.67</v>
      </c>
      <c r="H184" s="3">
        <f>F184*G184</f>
        <v>1887.69</v>
      </c>
      <c r="I184" t="str">
        <f t="shared" si="3"/>
        <v>Sep</v>
      </c>
    </row>
    <row r="185" spans="1:9">
      <c r="A185" t="s">
        <v>227</v>
      </c>
      <c r="B185" s="2">
        <v>45885</v>
      </c>
      <c r="C185" t="s">
        <v>3</v>
      </c>
      <c r="D185" t="s">
        <v>10</v>
      </c>
      <c r="E185" t="s">
        <v>91</v>
      </c>
      <c r="F185">
        <v>6</v>
      </c>
      <c r="G185" s="3">
        <v>16.78</v>
      </c>
      <c r="H185" s="3">
        <f>F185*G185</f>
        <v>100.68</v>
      </c>
      <c r="I185" t="str">
        <f t="shared" si="3"/>
        <v>Aug</v>
      </c>
    </row>
    <row r="186" spans="1:9">
      <c r="A186" t="s">
        <v>228</v>
      </c>
      <c r="B186" s="2">
        <v>45988</v>
      </c>
      <c r="C186" t="s">
        <v>4</v>
      </c>
      <c r="D186" t="s">
        <v>10</v>
      </c>
      <c r="E186" t="s">
        <v>91</v>
      </c>
      <c r="F186">
        <v>6</v>
      </c>
      <c r="G186" s="3">
        <v>18.190000000000001</v>
      </c>
      <c r="H186" s="3">
        <f>F186*G186</f>
        <v>109.14000000000001</v>
      </c>
      <c r="I186" t="str">
        <f t="shared" si="3"/>
        <v>Nov</v>
      </c>
    </row>
    <row r="187" spans="1:9">
      <c r="A187" t="s">
        <v>229</v>
      </c>
      <c r="B187" s="2">
        <v>45720</v>
      </c>
      <c r="C187" t="s">
        <v>5</v>
      </c>
      <c r="D187" t="s">
        <v>9</v>
      </c>
      <c r="E187" t="s">
        <v>41</v>
      </c>
      <c r="F187">
        <v>5</v>
      </c>
      <c r="G187" s="3">
        <v>254.53</v>
      </c>
      <c r="H187" s="3">
        <f>F187*G187</f>
        <v>1272.6500000000001</v>
      </c>
      <c r="I187" t="str">
        <f t="shared" si="3"/>
        <v>Mar</v>
      </c>
    </row>
    <row r="188" spans="1:9">
      <c r="A188" t="s">
        <v>230</v>
      </c>
      <c r="B188" s="2">
        <v>45828</v>
      </c>
      <c r="C188" t="s">
        <v>3</v>
      </c>
      <c r="D188" t="s">
        <v>9</v>
      </c>
      <c r="E188" t="s">
        <v>37</v>
      </c>
      <c r="F188">
        <v>1</v>
      </c>
      <c r="G188" s="3">
        <v>285.48</v>
      </c>
      <c r="H188" s="3">
        <f>F188*G188</f>
        <v>285.48</v>
      </c>
      <c r="I188" t="str">
        <f t="shared" si="3"/>
        <v>Jun</v>
      </c>
    </row>
    <row r="189" spans="1:9">
      <c r="A189" t="s">
        <v>231</v>
      </c>
      <c r="B189" s="2">
        <v>45941</v>
      </c>
      <c r="C189" t="s">
        <v>3</v>
      </c>
      <c r="D189" t="s">
        <v>9</v>
      </c>
      <c r="E189" t="s">
        <v>37</v>
      </c>
      <c r="F189">
        <v>2</v>
      </c>
      <c r="G189" s="3">
        <v>345.33</v>
      </c>
      <c r="H189" s="3">
        <f>F189*G189</f>
        <v>690.66</v>
      </c>
      <c r="I189" t="str">
        <f t="shared" si="3"/>
        <v>Oct</v>
      </c>
    </row>
    <row r="190" spans="1:9">
      <c r="A190" t="s">
        <v>232</v>
      </c>
      <c r="B190" s="2">
        <v>45733</v>
      </c>
      <c r="C190" t="s">
        <v>2</v>
      </c>
      <c r="D190" t="s">
        <v>11</v>
      </c>
      <c r="E190" t="s">
        <v>51</v>
      </c>
      <c r="F190">
        <v>4</v>
      </c>
      <c r="G190" s="3">
        <v>249.3</v>
      </c>
      <c r="H190" s="3">
        <f>F190*G190</f>
        <v>997.2</v>
      </c>
      <c r="I190" t="str">
        <f t="shared" si="3"/>
        <v>Mar</v>
      </c>
    </row>
    <row r="191" spans="1:9">
      <c r="A191" t="s">
        <v>233</v>
      </c>
      <c r="B191" s="2">
        <v>45747</v>
      </c>
      <c r="C191" t="s">
        <v>2</v>
      </c>
      <c r="D191" t="s">
        <v>10</v>
      </c>
      <c r="E191" t="s">
        <v>79</v>
      </c>
      <c r="F191">
        <v>3</v>
      </c>
      <c r="G191" s="3">
        <v>12.12</v>
      </c>
      <c r="H191" s="3">
        <f>F191*G191</f>
        <v>36.36</v>
      </c>
      <c r="I191" t="str">
        <f t="shared" si="3"/>
        <v>Mar</v>
      </c>
    </row>
    <row r="192" spans="1:9">
      <c r="A192" t="s">
        <v>234</v>
      </c>
      <c r="B192" s="2">
        <v>45779</v>
      </c>
      <c r="C192" t="s">
        <v>4</v>
      </c>
      <c r="D192" t="s">
        <v>11</v>
      </c>
      <c r="E192" t="s">
        <v>33</v>
      </c>
      <c r="F192">
        <v>3</v>
      </c>
      <c r="G192" s="3">
        <v>751.03</v>
      </c>
      <c r="H192" s="3">
        <f>F192*G192</f>
        <v>2253.09</v>
      </c>
      <c r="I192" t="str">
        <f t="shared" si="3"/>
        <v>May</v>
      </c>
    </row>
    <row r="193" spans="1:9">
      <c r="A193" t="s">
        <v>235</v>
      </c>
      <c r="B193" s="2">
        <v>45873</v>
      </c>
      <c r="C193" t="s">
        <v>2</v>
      </c>
      <c r="D193" t="s">
        <v>9</v>
      </c>
      <c r="E193" t="s">
        <v>37</v>
      </c>
      <c r="F193">
        <v>5</v>
      </c>
      <c r="G193" s="3">
        <v>285.62</v>
      </c>
      <c r="H193" s="3">
        <f>F193*G193</f>
        <v>1428.1</v>
      </c>
      <c r="I193" t="str">
        <f t="shared" si="3"/>
        <v>Aug</v>
      </c>
    </row>
    <row r="194" spans="1:9">
      <c r="A194" t="s">
        <v>236</v>
      </c>
      <c r="B194" s="2">
        <v>45843</v>
      </c>
      <c r="C194" t="s">
        <v>2</v>
      </c>
      <c r="D194" t="s">
        <v>11</v>
      </c>
      <c r="E194" t="s">
        <v>33</v>
      </c>
      <c r="F194">
        <v>8</v>
      </c>
      <c r="G194" s="3">
        <v>839.45</v>
      </c>
      <c r="H194" s="3">
        <f>F194*G194</f>
        <v>6715.6</v>
      </c>
      <c r="I194" t="str">
        <f t="shared" ref="I194:I241" si="4">TEXT(B194,"mmm")</f>
        <v>Jul</v>
      </c>
    </row>
    <row r="195" spans="1:9">
      <c r="A195" t="s">
        <v>237</v>
      </c>
      <c r="B195" s="2">
        <v>45995</v>
      </c>
      <c r="C195" t="s">
        <v>4</v>
      </c>
      <c r="D195" t="s">
        <v>10</v>
      </c>
      <c r="E195" t="s">
        <v>79</v>
      </c>
      <c r="F195">
        <v>1</v>
      </c>
      <c r="G195" s="3">
        <v>12.65</v>
      </c>
      <c r="H195" s="3">
        <f>F195*G195</f>
        <v>12.65</v>
      </c>
      <c r="I195" t="str">
        <f t="shared" si="4"/>
        <v>Dec</v>
      </c>
    </row>
    <row r="196" spans="1:9">
      <c r="A196" t="s">
        <v>238</v>
      </c>
      <c r="B196" s="2">
        <v>45863</v>
      </c>
      <c r="C196" t="s">
        <v>5</v>
      </c>
      <c r="D196" t="s">
        <v>10</v>
      </c>
      <c r="E196" t="s">
        <v>91</v>
      </c>
      <c r="F196">
        <v>1</v>
      </c>
      <c r="G196" s="3">
        <v>20.149999999999999</v>
      </c>
      <c r="H196" s="3">
        <f>F196*G196</f>
        <v>20.149999999999999</v>
      </c>
      <c r="I196" t="str">
        <f t="shared" si="4"/>
        <v>Jul</v>
      </c>
    </row>
    <row r="197" spans="1:9">
      <c r="A197" t="s">
        <v>239</v>
      </c>
      <c r="B197" s="2">
        <v>45885</v>
      </c>
      <c r="C197" t="s">
        <v>2</v>
      </c>
      <c r="D197" t="s">
        <v>11</v>
      </c>
      <c r="E197" t="s">
        <v>33</v>
      </c>
      <c r="F197">
        <v>8</v>
      </c>
      <c r="G197" s="3">
        <v>893.33</v>
      </c>
      <c r="H197" s="3">
        <f>F197*G197</f>
        <v>7146.64</v>
      </c>
      <c r="I197" t="str">
        <f t="shared" si="4"/>
        <v>Aug</v>
      </c>
    </row>
    <row r="198" spans="1:9">
      <c r="A198" t="s">
        <v>240</v>
      </c>
      <c r="B198" s="2">
        <v>45798</v>
      </c>
      <c r="C198" t="s">
        <v>4</v>
      </c>
      <c r="D198" t="s">
        <v>9</v>
      </c>
      <c r="E198" t="s">
        <v>54</v>
      </c>
      <c r="F198">
        <v>3</v>
      </c>
      <c r="G198" s="3">
        <v>214.98</v>
      </c>
      <c r="H198" s="3">
        <f>F198*G198</f>
        <v>644.93999999999994</v>
      </c>
      <c r="I198" t="str">
        <f t="shared" si="4"/>
        <v>May</v>
      </c>
    </row>
    <row r="199" spans="1:9">
      <c r="A199" t="s">
        <v>241</v>
      </c>
      <c r="B199" s="2">
        <v>45878</v>
      </c>
      <c r="C199" t="s">
        <v>2</v>
      </c>
      <c r="D199" t="s">
        <v>10</v>
      </c>
      <c r="E199" t="s">
        <v>48</v>
      </c>
      <c r="F199">
        <v>8</v>
      </c>
      <c r="G199" s="3">
        <v>9.01</v>
      </c>
      <c r="H199" s="3">
        <f>F199*G199</f>
        <v>72.08</v>
      </c>
      <c r="I199" t="str">
        <f t="shared" si="4"/>
        <v>Aug</v>
      </c>
    </row>
    <row r="200" spans="1:9">
      <c r="A200" t="s">
        <v>242</v>
      </c>
      <c r="B200" s="2">
        <v>45774</v>
      </c>
      <c r="C200" t="s">
        <v>5</v>
      </c>
      <c r="D200" t="s">
        <v>11</v>
      </c>
      <c r="E200" t="s">
        <v>33</v>
      </c>
      <c r="F200">
        <v>4</v>
      </c>
      <c r="G200" s="3">
        <v>835.73</v>
      </c>
      <c r="H200" s="3">
        <f>F200*G200</f>
        <v>3342.92</v>
      </c>
      <c r="I200" t="str">
        <f t="shared" si="4"/>
        <v>Apr</v>
      </c>
    </row>
    <row r="201" spans="1:9">
      <c r="A201" t="s">
        <v>243</v>
      </c>
      <c r="B201" s="2">
        <v>45706</v>
      </c>
      <c r="C201" t="s">
        <v>4</v>
      </c>
      <c r="D201" t="s">
        <v>10</v>
      </c>
      <c r="E201" t="s">
        <v>70</v>
      </c>
      <c r="F201">
        <v>7</v>
      </c>
      <c r="G201" s="3">
        <v>6.86</v>
      </c>
      <c r="H201" s="3">
        <f>F201*G201</f>
        <v>48.02</v>
      </c>
      <c r="I201" t="str">
        <f t="shared" si="4"/>
        <v>Feb</v>
      </c>
    </row>
    <row r="202" spans="1:9">
      <c r="A202" t="s">
        <v>244</v>
      </c>
      <c r="B202" s="2">
        <v>45736</v>
      </c>
      <c r="C202" t="s">
        <v>5</v>
      </c>
      <c r="D202" t="s">
        <v>10</v>
      </c>
      <c r="E202" t="s">
        <v>48</v>
      </c>
      <c r="F202">
        <v>5</v>
      </c>
      <c r="G202" s="3">
        <v>8.73</v>
      </c>
      <c r="H202" s="3">
        <f>F202*G202</f>
        <v>43.650000000000006</v>
      </c>
      <c r="I202" t="str">
        <f t="shared" si="4"/>
        <v>Mar</v>
      </c>
    </row>
    <row r="203" spans="1:9">
      <c r="A203" t="s">
        <v>245</v>
      </c>
      <c r="B203" s="2">
        <v>45707</v>
      </c>
      <c r="C203" t="s">
        <v>4</v>
      </c>
      <c r="D203" t="s">
        <v>9</v>
      </c>
      <c r="E203" t="s">
        <v>35</v>
      </c>
      <c r="F203">
        <v>2</v>
      </c>
      <c r="G203" s="3">
        <v>166.94</v>
      </c>
      <c r="H203" s="3">
        <f>F203*G203</f>
        <v>333.88</v>
      </c>
      <c r="I203" t="str">
        <f t="shared" si="4"/>
        <v>Feb</v>
      </c>
    </row>
    <row r="204" spans="1:9">
      <c r="A204" t="s">
        <v>246</v>
      </c>
      <c r="B204" s="2">
        <v>45868</v>
      </c>
      <c r="C204" t="s">
        <v>4</v>
      </c>
      <c r="D204" t="s">
        <v>9</v>
      </c>
      <c r="E204" t="s">
        <v>35</v>
      </c>
      <c r="F204">
        <v>6</v>
      </c>
      <c r="G204" s="3">
        <v>192.55</v>
      </c>
      <c r="H204" s="3">
        <f>F204*G204</f>
        <v>1155.3000000000002</v>
      </c>
      <c r="I204" t="str">
        <f t="shared" si="4"/>
        <v>Jul</v>
      </c>
    </row>
    <row r="205" spans="1:9">
      <c r="A205" t="s">
        <v>247</v>
      </c>
      <c r="B205" s="2">
        <v>45965</v>
      </c>
      <c r="C205" t="s">
        <v>4</v>
      </c>
      <c r="D205" t="s">
        <v>11</v>
      </c>
      <c r="E205" t="s">
        <v>39</v>
      </c>
      <c r="F205">
        <v>1</v>
      </c>
      <c r="G205" s="3">
        <v>211.36</v>
      </c>
      <c r="H205" s="3">
        <f>F205*G205</f>
        <v>211.36</v>
      </c>
      <c r="I205" t="str">
        <f t="shared" si="4"/>
        <v>Nov</v>
      </c>
    </row>
    <row r="206" spans="1:9">
      <c r="A206" t="s">
        <v>248</v>
      </c>
      <c r="B206" s="2">
        <v>45904</v>
      </c>
      <c r="C206" t="s">
        <v>3</v>
      </c>
      <c r="D206" t="s">
        <v>10</v>
      </c>
      <c r="E206" t="s">
        <v>91</v>
      </c>
      <c r="F206">
        <v>4</v>
      </c>
      <c r="G206" s="3">
        <v>16.510000000000002</v>
      </c>
      <c r="H206" s="3">
        <f>F206*G206</f>
        <v>66.040000000000006</v>
      </c>
      <c r="I206" t="str">
        <f t="shared" si="4"/>
        <v>Sep</v>
      </c>
    </row>
    <row r="207" spans="1:9">
      <c r="A207" t="s">
        <v>249</v>
      </c>
      <c r="B207" s="2">
        <v>45800</v>
      </c>
      <c r="C207" t="s">
        <v>3</v>
      </c>
      <c r="D207" t="s">
        <v>9</v>
      </c>
      <c r="E207" t="s">
        <v>54</v>
      </c>
      <c r="F207">
        <v>6</v>
      </c>
      <c r="G207" s="3">
        <v>217.82</v>
      </c>
      <c r="H207" s="3">
        <f>F207*G207</f>
        <v>1306.92</v>
      </c>
      <c r="I207" t="str">
        <f t="shared" si="4"/>
        <v>May</v>
      </c>
    </row>
    <row r="208" spans="1:9">
      <c r="A208" t="s">
        <v>250</v>
      </c>
      <c r="B208" s="2">
        <v>45797</v>
      </c>
      <c r="C208" t="s">
        <v>4</v>
      </c>
      <c r="D208" t="s">
        <v>10</v>
      </c>
      <c r="E208" t="s">
        <v>91</v>
      </c>
      <c r="F208">
        <v>5</v>
      </c>
      <c r="G208" s="3">
        <v>15.97</v>
      </c>
      <c r="H208" s="3">
        <f>F208*G208</f>
        <v>79.850000000000009</v>
      </c>
      <c r="I208" t="str">
        <f t="shared" si="4"/>
        <v>May</v>
      </c>
    </row>
    <row r="209" spans="1:9">
      <c r="A209" t="s">
        <v>251</v>
      </c>
      <c r="B209" s="2">
        <v>45731</v>
      </c>
      <c r="C209" t="s">
        <v>5</v>
      </c>
      <c r="D209" t="s">
        <v>10</v>
      </c>
      <c r="E209" t="s">
        <v>48</v>
      </c>
      <c r="F209">
        <v>1</v>
      </c>
      <c r="G209" s="3">
        <v>8.31</v>
      </c>
      <c r="H209" s="3">
        <f>F209*G209</f>
        <v>8.31</v>
      </c>
      <c r="I209" t="str">
        <f t="shared" si="4"/>
        <v>Mar</v>
      </c>
    </row>
    <row r="210" spans="1:9">
      <c r="A210" t="s">
        <v>252</v>
      </c>
      <c r="B210" s="2">
        <v>45929</v>
      </c>
      <c r="C210" t="s">
        <v>3</v>
      </c>
      <c r="D210" t="s">
        <v>9</v>
      </c>
      <c r="E210" t="s">
        <v>37</v>
      </c>
      <c r="F210">
        <v>1</v>
      </c>
      <c r="G210" s="3">
        <v>288.64999999999998</v>
      </c>
      <c r="H210" s="3">
        <f>F210*G210</f>
        <v>288.64999999999998</v>
      </c>
      <c r="I210" t="str">
        <f t="shared" si="4"/>
        <v>Sep</v>
      </c>
    </row>
    <row r="211" spans="1:9">
      <c r="A211" t="s">
        <v>253</v>
      </c>
      <c r="B211" s="2">
        <v>45847</v>
      </c>
      <c r="C211" t="s">
        <v>4</v>
      </c>
      <c r="D211" t="s">
        <v>10</v>
      </c>
      <c r="E211" t="s">
        <v>70</v>
      </c>
      <c r="F211">
        <v>8</v>
      </c>
      <c r="G211" s="3">
        <v>6.73</v>
      </c>
      <c r="H211" s="3">
        <f>F211*G211</f>
        <v>53.84</v>
      </c>
      <c r="I211" t="str">
        <f t="shared" si="4"/>
        <v>Jul</v>
      </c>
    </row>
    <row r="212" spans="1:9">
      <c r="A212" t="s">
        <v>254</v>
      </c>
      <c r="B212" s="2">
        <v>45737</v>
      </c>
      <c r="C212" t="s">
        <v>3</v>
      </c>
      <c r="D212" t="s">
        <v>11</v>
      </c>
      <c r="E212" t="s">
        <v>45</v>
      </c>
      <c r="F212">
        <v>2</v>
      </c>
      <c r="G212" s="3">
        <v>49.14</v>
      </c>
      <c r="H212" s="3">
        <f>F212*G212</f>
        <v>98.28</v>
      </c>
      <c r="I212" t="str">
        <f t="shared" si="4"/>
        <v>Mar</v>
      </c>
    </row>
    <row r="213" spans="1:9">
      <c r="A213" t="s">
        <v>255</v>
      </c>
      <c r="B213" s="2">
        <v>45996</v>
      </c>
      <c r="C213" t="s">
        <v>5</v>
      </c>
      <c r="D213" t="s">
        <v>11</v>
      </c>
      <c r="E213" t="s">
        <v>33</v>
      </c>
      <c r="F213">
        <v>2</v>
      </c>
      <c r="G213" s="3">
        <v>803.51</v>
      </c>
      <c r="H213" s="3">
        <f>F213*G213</f>
        <v>1607.02</v>
      </c>
      <c r="I213" t="str">
        <f t="shared" si="4"/>
        <v>Dec</v>
      </c>
    </row>
    <row r="214" spans="1:9">
      <c r="A214" t="s">
        <v>256</v>
      </c>
      <c r="B214" s="2">
        <v>45920</v>
      </c>
      <c r="C214" t="s">
        <v>2</v>
      </c>
      <c r="D214" t="s">
        <v>10</v>
      </c>
      <c r="E214" t="s">
        <v>70</v>
      </c>
      <c r="F214">
        <v>7</v>
      </c>
      <c r="G214" s="3">
        <v>6.62</v>
      </c>
      <c r="H214" s="3">
        <f>F214*G214</f>
        <v>46.34</v>
      </c>
      <c r="I214" t="str">
        <f t="shared" si="4"/>
        <v>Sep</v>
      </c>
    </row>
    <row r="215" spans="1:9">
      <c r="A215" t="s">
        <v>257</v>
      </c>
      <c r="B215" s="2">
        <v>46005</v>
      </c>
      <c r="C215" t="s">
        <v>5</v>
      </c>
      <c r="D215" t="s">
        <v>10</v>
      </c>
      <c r="E215" t="s">
        <v>70</v>
      </c>
      <c r="F215">
        <v>2</v>
      </c>
      <c r="G215" s="3">
        <v>6.64</v>
      </c>
      <c r="H215" s="3">
        <f>F215*G215</f>
        <v>13.28</v>
      </c>
      <c r="I215" t="str">
        <f t="shared" si="4"/>
        <v>Dec</v>
      </c>
    </row>
    <row r="216" spans="1:9">
      <c r="A216" t="s">
        <v>258</v>
      </c>
      <c r="B216" s="2">
        <v>45964</v>
      </c>
      <c r="C216" t="s">
        <v>2</v>
      </c>
      <c r="D216" t="s">
        <v>11</v>
      </c>
      <c r="E216" t="s">
        <v>45</v>
      </c>
      <c r="F216">
        <v>1</v>
      </c>
      <c r="G216" s="3">
        <v>41.98</v>
      </c>
      <c r="H216" s="3">
        <f>F216*G216</f>
        <v>41.98</v>
      </c>
      <c r="I216" t="str">
        <f t="shared" si="4"/>
        <v>Nov</v>
      </c>
    </row>
    <row r="217" spans="1:9">
      <c r="A217" t="s">
        <v>259</v>
      </c>
      <c r="B217" s="2">
        <v>45728</v>
      </c>
      <c r="C217" t="s">
        <v>4</v>
      </c>
      <c r="D217" t="s">
        <v>9</v>
      </c>
      <c r="E217" t="s">
        <v>37</v>
      </c>
      <c r="F217">
        <v>5</v>
      </c>
      <c r="G217" s="3">
        <v>354.2</v>
      </c>
      <c r="H217" s="3">
        <f>F217*G217</f>
        <v>1771</v>
      </c>
      <c r="I217" t="str">
        <f t="shared" si="4"/>
        <v>Mar</v>
      </c>
    </row>
    <row r="218" spans="1:9">
      <c r="A218" t="s">
        <v>260</v>
      </c>
      <c r="B218" s="2">
        <v>45878</v>
      </c>
      <c r="C218" t="s">
        <v>3</v>
      </c>
      <c r="D218" t="s">
        <v>10</v>
      </c>
      <c r="E218" t="s">
        <v>48</v>
      </c>
      <c r="F218">
        <v>2</v>
      </c>
      <c r="G218" s="3">
        <v>7.94</v>
      </c>
      <c r="H218" s="3">
        <f>F218*G218</f>
        <v>15.88</v>
      </c>
      <c r="I218" t="str">
        <f t="shared" si="4"/>
        <v>Aug</v>
      </c>
    </row>
    <row r="219" spans="1:9">
      <c r="A219" t="s">
        <v>261</v>
      </c>
      <c r="B219" s="2">
        <v>46000</v>
      </c>
      <c r="C219" t="s">
        <v>4</v>
      </c>
      <c r="D219" t="s">
        <v>9</v>
      </c>
      <c r="E219" t="s">
        <v>41</v>
      </c>
      <c r="F219">
        <v>4</v>
      </c>
      <c r="G219" s="3">
        <v>275.02</v>
      </c>
      <c r="H219" s="3">
        <f>F219*G219</f>
        <v>1100.08</v>
      </c>
      <c r="I219" t="str">
        <f t="shared" si="4"/>
        <v>Dec</v>
      </c>
    </row>
    <row r="220" spans="1:9">
      <c r="A220" t="s">
        <v>262</v>
      </c>
      <c r="B220" s="2">
        <v>45893</v>
      </c>
      <c r="C220" t="s">
        <v>2</v>
      </c>
      <c r="D220" t="s">
        <v>9</v>
      </c>
      <c r="E220" t="s">
        <v>41</v>
      </c>
      <c r="F220">
        <v>1</v>
      </c>
      <c r="G220" s="3">
        <v>270.79000000000002</v>
      </c>
      <c r="H220" s="3">
        <f>F220*G220</f>
        <v>270.79000000000002</v>
      </c>
      <c r="I220" t="str">
        <f t="shared" si="4"/>
        <v>Aug</v>
      </c>
    </row>
    <row r="221" spans="1:9">
      <c r="A221" t="s">
        <v>263</v>
      </c>
      <c r="B221" s="2">
        <v>45871</v>
      </c>
      <c r="C221" t="s">
        <v>4</v>
      </c>
      <c r="D221" t="s">
        <v>10</v>
      </c>
      <c r="E221" t="s">
        <v>70</v>
      </c>
      <c r="F221">
        <v>7</v>
      </c>
      <c r="G221" s="3">
        <v>7.35</v>
      </c>
      <c r="H221" s="3">
        <f>F221*G221</f>
        <v>51.449999999999996</v>
      </c>
      <c r="I221" t="str">
        <f t="shared" si="4"/>
        <v>Aug</v>
      </c>
    </row>
    <row r="222" spans="1:9">
      <c r="A222" t="s">
        <v>264</v>
      </c>
      <c r="B222" s="2">
        <v>45745</v>
      </c>
      <c r="C222" t="s">
        <v>5</v>
      </c>
      <c r="D222" t="s">
        <v>9</v>
      </c>
      <c r="E222" t="s">
        <v>41</v>
      </c>
      <c r="F222">
        <v>1</v>
      </c>
      <c r="G222" s="3">
        <v>305.77</v>
      </c>
      <c r="H222" s="3">
        <f>F222*G222</f>
        <v>305.77</v>
      </c>
      <c r="I222" t="str">
        <f t="shared" si="4"/>
        <v>Mar</v>
      </c>
    </row>
    <row r="223" spans="1:9">
      <c r="A223" t="s">
        <v>265</v>
      </c>
      <c r="B223" s="2">
        <v>45712</v>
      </c>
      <c r="C223" t="s">
        <v>3</v>
      </c>
      <c r="D223" t="s">
        <v>11</v>
      </c>
      <c r="E223" t="s">
        <v>45</v>
      </c>
      <c r="F223">
        <v>2</v>
      </c>
      <c r="G223" s="3">
        <v>44.32</v>
      </c>
      <c r="H223" s="3">
        <f>F223*G223</f>
        <v>88.64</v>
      </c>
      <c r="I223" t="str">
        <f t="shared" si="4"/>
        <v>Feb</v>
      </c>
    </row>
    <row r="224" spans="1:9">
      <c r="A224" t="s">
        <v>266</v>
      </c>
      <c r="B224" s="2">
        <v>45816</v>
      </c>
      <c r="C224" t="s">
        <v>4</v>
      </c>
      <c r="D224" t="s">
        <v>10</v>
      </c>
      <c r="E224" t="s">
        <v>70</v>
      </c>
      <c r="F224">
        <v>2</v>
      </c>
      <c r="G224" s="3">
        <v>6.82</v>
      </c>
      <c r="H224" s="3">
        <f>F224*G224</f>
        <v>13.64</v>
      </c>
      <c r="I224" t="str">
        <f t="shared" si="4"/>
        <v>Jun</v>
      </c>
    </row>
    <row r="225" spans="1:9">
      <c r="A225" t="s">
        <v>267</v>
      </c>
      <c r="B225" s="2">
        <v>45982</v>
      </c>
      <c r="C225" t="s">
        <v>2</v>
      </c>
      <c r="D225" t="s">
        <v>9</v>
      </c>
      <c r="E225" t="s">
        <v>54</v>
      </c>
      <c r="F225">
        <v>3</v>
      </c>
      <c r="G225" s="3">
        <v>215.6</v>
      </c>
      <c r="H225" s="3">
        <f>F225*G225</f>
        <v>646.79999999999995</v>
      </c>
      <c r="I225" t="str">
        <f t="shared" si="4"/>
        <v>Nov</v>
      </c>
    </row>
    <row r="226" spans="1:9">
      <c r="A226" t="s">
        <v>268</v>
      </c>
      <c r="B226" s="2">
        <v>45988</v>
      </c>
      <c r="C226" t="s">
        <v>3</v>
      </c>
      <c r="D226" t="s">
        <v>11</v>
      </c>
      <c r="E226" t="s">
        <v>51</v>
      </c>
      <c r="F226">
        <v>6</v>
      </c>
      <c r="G226" s="3">
        <v>250.71</v>
      </c>
      <c r="H226" s="3">
        <f>F226*G226</f>
        <v>1504.26</v>
      </c>
      <c r="I226" t="str">
        <f t="shared" si="4"/>
        <v>Nov</v>
      </c>
    </row>
    <row r="227" spans="1:9">
      <c r="A227" t="s">
        <v>269</v>
      </c>
      <c r="B227" s="2">
        <v>45746</v>
      </c>
      <c r="C227" t="s">
        <v>3</v>
      </c>
      <c r="D227" t="s">
        <v>9</v>
      </c>
      <c r="E227" t="s">
        <v>35</v>
      </c>
      <c r="F227">
        <v>3</v>
      </c>
      <c r="G227" s="3">
        <v>174.16</v>
      </c>
      <c r="H227" s="3">
        <f>F227*G227</f>
        <v>522.48</v>
      </c>
      <c r="I227" t="str">
        <f t="shared" si="4"/>
        <v>Mar</v>
      </c>
    </row>
    <row r="228" spans="1:9">
      <c r="A228" t="s">
        <v>270</v>
      </c>
      <c r="B228" s="2">
        <v>45979</v>
      </c>
      <c r="C228" t="s">
        <v>5</v>
      </c>
      <c r="D228" t="s">
        <v>11</v>
      </c>
      <c r="E228" t="s">
        <v>33</v>
      </c>
      <c r="F228">
        <v>3</v>
      </c>
      <c r="G228" s="3">
        <v>942.06</v>
      </c>
      <c r="H228" s="3">
        <f>F228*G228</f>
        <v>2826.18</v>
      </c>
      <c r="I228" t="str">
        <f t="shared" si="4"/>
        <v>Nov</v>
      </c>
    </row>
    <row r="229" spans="1:9">
      <c r="A229" t="s">
        <v>271</v>
      </c>
      <c r="B229" s="2">
        <v>45979</v>
      </c>
      <c r="C229" t="s">
        <v>4</v>
      </c>
      <c r="D229" t="s">
        <v>10</v>
      </c>
      <c r="E229" t="s">
        <v>70</v>
      </c>
      <c r="F229">
        <v>6</v>
      </c>
      <c r="G229" s="3">
        <v>7.61</v>
      </c>
      <c r="H229" s="3">
        <f>F229*G229</f>
        <v>45.660000000000004</v>
      </c>
      <c r="I229" t="str">
        <f t="shared" si="4"/>
        <v>Nov</v>
      </c>
    </row>
    <row r="230" spans="1:9">
      <c r="A230" t="s">
        <v>272</v>
      </c>
      <c r="B230" s="2">
        <v>45981</v>
      </c>
      <c r="C230" t="s">
        <v>4</v>
      </c>
      <c r="D230" t="s">
        <v>9</v>
      </c>
      <c r="E230" t="s">
        <v>41</v>
      </c>
      <c r="F230">
        <v>2</v>
      </c>
      <c r="G230" s="3">
        <v>272.95</v>
      </c>
      <c r="H230" s="3">
        <f>F230*G230</f>
        <v>545.9</v>
      </c>
      <c r="I230" t="str">
        <f t="shared" si="4"/>
        <v>Nov</v>
      </c>
    </row>
    <row r="231" spans="1:9">
      <c r="A231" t="s">
        <v>273</v>
      </c>
      <c r="B231" s="2">
        <v>45816</v>
      </c>
      <c r="C231" t="s">
        <v>5</v>
      </c>
      <c r="D231" t="s">
        <v>10</v>
      </c>
      <c r="E231" t="s">
        <v>91</v>
      </c>
      <c r="F231">
        <v>6</v>
      </c>
      <c r="G231" s="3">
        <v>18.03</v>
      </c>
      <c r="H231" s="3">
        <f>F231*G231</f>
        <v>108.18</v>
      </c>
      <c r="I231" t="str">
        <f t="shared" si="4"/>
        <v>Jun</v>
      </c>
    </row>
    <row r="232" spans="1:9">
      <c r="A232" t="s">
        <v>274</v>
      </c>
      <c r="B232" s="2">
        <v>45804</v>
      </c>
      <c r="C232" t="s">
        <v>2</v>
      </c>
      <c r="D232" t="s">
        <v>10</v>
      </c>
      <c r="E232" t="s">
        <v>91</v>
      </c>
      <c r="F232">
        <v>1</v>
      </c>
      <c r="G232" s="3">
        <v>17.43</v>
      </c>
      <c r="H232" s="3">
        <f>F232*G232</f>
        <v>17.43</v>
      </c>
      <c r="I232" t="str">
        <f t="shared" si="4"/>
        <v>May</v>
      </c>
    </row>
    <row r="233" spans="1:9">
      <c r="A233" t="s">
        <v>275</v>
      </c>
      <c r="B233" s="2">
        <v>45941</v>
      </c>
      <c r="C233" t="s">
        <v>2</v>
      </c>
      <c r="D233" t="s">
        <v>11</v>
      </c>
      <c r="E233" t="s">
        <v>33</v>
      </c>
      <c r="F233">
        <v>7</v>
      </c>
      <c r="G233" s="3">
        <v>842.39</v>
      </c>
      <c r="H233" s="3">
        <f>F233*G233</f>
        <v>5896.73</v>
      </c>
      <c r="I233" t="str">
        <f t="shared" si="4"/>
        <v>Oct</v>
      </c>
    </row>
    <row r="234" spans="1:9">
      <c r="A234" t="s">
        <v>276</v>
      </c>
      <c r="B234" s="2">
        <v>45914</v>
      </c>
      <c r="C234" t="s">
        <v>3</v>
      </c>
      <c r="D234" t="s">
        <v>10</v>
      </c>
      <c r="E234" t="s">
        <v>79</v>
      </c>
      <c r="F234">
        <v>6</v>
      </c>
      <c r="G234" s="3">
        <v>12.3</v>
      </c>
      <c r="H234" s="3">
        <f>F234*G234</f>
        <v>73.800000000000011</v>
      </c>
      <c r="I234" t="str">
        <f t="shared" si="4"/>
        <v>Sep</v>
      </c>
    </row>
    <row r="235" spans="1:9">
      <c r="A235" t="s">
        <v>277</v>
      </c>
      <c r="B235" s="2">
        <v>45833</v>
      </c>
      <c r="C235" t="s">
        <v>2</v>
      </c>
      <c r="D235" t="s">
        <v>9</v>
      </c>
      <c r="E235" t="s">
        <v>41</v>
      </c>
      <c r="F235">
        <v>2</v>
      </c>
      <c r="G235" s="3">
        <v>295.52</v>
      </c>
      <c r="H235" s="3">
        <f>F235*G235</f>
        <v>591.04</v>
      </c>
      <c r="I235" t="str">
        <f t="shared" si="4"/>
        <v>Jun</v>
      </c>
    </row>
    <row r="236" spans="1:9">
      <c r="A236" t="s">
        <v>278</v>
      </c>
      <c r="B236" s="2">
        <v>45882</v>
      </c>
      <c r="C236" t="s">
        <v>5</v>
      </c>
      <c r="D236" t="s">
        <v>11</v>
      </c>
      <c r="E236" t="s">
        <v>51</v>
      </c>
      <c r="F236">
        <v>1</v>
      </c>
      <c r="G236" s="3">
        <v>244.26</v>
      </c>
      <c r="H236" s="3">
        <f>F236*G236</f>
        <v>244.26</v>
      </c>
      <c r="I236" t="str">
        <f t="shared" si="4"/>
        <v>Aug</v>
      </c>
    </row>
    <row r="237" spans="1:9">
      <c r="A237" t="s">
        <v>279</v>
      </c>
      <c r="B237" s="2">
        <v>45802</v>
      </c>
      <c r="C237" t="s">
        <v>5</v>
      </c>
      <c r="D237" t="s">
        <v>11</v>
      </c>
      <c r="E237" t="s">
        <v>51</v>
      </c>
      <c r="F237">
        <v>6</v>
      </c>
      <c r="G237" s="3">
        <v>252.07</v>
      </c>
      <c r="H237" s="3">
        <f>F237*G237</f>
        <v>1512.42</v>
      </c>
      <c r="I237" t="str">
        <f t="shared" si="4"/>
        <v>May</v>
      </c>
    </row>
    <row r="238" spans="1:9">
      <c r="A238" t="s">
        <v>280</v>
      </c>
      <c r="B238" s="2">
        <v>45989</v>
      </c>
      <c r="C238" t="s">
        <v>4</v>
      </c>
      <c r="D238" t="s">
        <v>10</v>
      </c>
      <c r="E238" t="s">
        <v>48</v>
      </c>
      <c r="F238">
        <v>1</v>
      </c>
      <c r="G238" s="3">
        <v>9.6199999999999992</v>
      </c>
      <c r="H238" s="3">
        <f>F238*G238</f>
        <v>9.6199999999999992</v>
      </c>
      <c r="I238" t="str">
        <f t="shared" si="4"/>
        <v>Nov</v>
      </c>
    </row>
    <row r="239" spans="1:9">
      <c r="A239" t="s">
        <v>281</v>
      </c>
      <c r="B239" s="2">
        <v>45855</v>
      </c>
      <c r="C239" t="s">
        <v>4</v>
      </c>
      <c r="D239" t="s">
        <v>9</v>
      </c>
      <c r="E239" t="s">
        <v>54</v>
      </c>
      <c r="F239">
        <v>2</v>
      </c>
      <c r="G239" s="3">
        <v>243.34</v>
      </c>
      <c r="H239" s="3">
        <f>F239*G239</f>
        <v>486.68</v>
      </c>
      <c r="I239" t="str">
        <f t="shared" si="4"/>
        <v>Jul</v>
      </c>
    </row>
    <row r="240" spans="1:9">
      <c r="A240" t="s">
        <v>282</v>
      </c>
      <c r="B240" s="2">
        <v>45997</v>
      </c>
      <c r="C240" t="s">
        <v>3</v>
      </c>
      <c r="D240" t="s">
        <v>10</v>
      </c>
      <c r="E240" t="s">
        <v>79</v>
      </c>
      <c r="F240">
        <v>6</v>
      </c>
      <c r="G240" s="3">
        <v>10.79</v>
      </c>
      <c r="H240" s="3">
        <f>F240*G240</f>
        <v>64.739999999999995</v>
      </c>
      <c r="I240" t="str">
        <f t="shared" si="4"/>
        <v>Dec</v>
      </c>
    </row>
    <row r="241" spans="1:9">
      <c r="A241" t="s">
        <v>283</v>
      </c>
      <c r="B241" s="2">
        <v>46020</v>
      </c>
      <c r="C241" t="s">
        <v>2</v>
      </c>
      <c r="D241" t="s">
        <v>10</v>
      </c>
      <c r="E241" t="s">
        <v>48</v>
      </c>
      <c r="F241">
        <v>7</v>
      </c>
      <c r="G241" s="3">
        <v>8.1999999999999993</v>
      </c>
      <c r="H241" s="3">
        <f>F241*G241</f>
        <v>57.399999999999991</v>
      </c>
      <c r="I241" t="str">
        <f t="shared" si="4"/>
        <v>Dec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A2" zoomScaleNormal="100" zoomScaleSheetLayoutView="100" workbookViewId="0">
      <selection activeCell="E5" sqref="E5"/>
    </sheetView>
  </sheetViews>
  <sheetFormatPr defaultRowHeight="15"/>
  <cols>
    <col min="1" max="1" width="8" customWidth="1"/>
    <col min="2" max="2" width="44" customWidth="1"/>
    <col min="3" max="3" width="34" customWidth="1"/>
    <col min="4" max="4" width="16" customWidth="1"/>
  </cols>
  <sheetData>
    <row r="1" spans="1:4">
      <c r="A1" s="17" t="s">
        <v>284</v>
      </c>
      <c r="B1" s="17"/>
      <c r="C1" s="17"/>
      <c r="D1" s="17"/>
    </row>
    <row r="3" spans="1:4" ht="26.45" customHeight="1">
      <c r="A3" s="4" t="s">
        <v>285</v>
      </c>
      <c r="B3" s="4" t="s">
        <v>286</v>
      </c>
      <c r="C3" s="4" t="s">
        <v>287</v>
      </c>
      <c r="D3" s="4" t="s">
        <v>288</v>
      </c>
    </row>
    <row r="4" spans="1:4" ht="79.150000000000006" customHeight="1">
      <c r="A4" s="5">
        <v>1</v>
      </c>
      <c r="B4" s="5" t="s">
        <v>289</v>
      </c>
      <c r="C4" s="5" t="s">
        <v>290</v>
      </c>
      <c r="D4" s="5" t="s">
        <v>291</v>
      </c>
    </row>
    <row r="5" spans="1:4" ht="66" customHeight="1">
      <c r="A5" s="5">
        <v>2</v>
      </c>
      <c r="B5" s="5" t="s">
        <v>292</v>
      </c>
      <c r="C5" s="5" t="s">
        <v>293</v>
      </c>
      <c r="D5" s="5" t="s">
        <v>291</v>
      </c>
    </row>
    <row r="6" spans="1:4" ht="66" customHeight="1">
      <c r="A6" s="5">
        <v>3</v>
      </c>
      <c r="B6" s="5" t="s">
        <v>294</v>
      </c>
      <c r="C6" s="5" t="s">
        <v>293</v>
      </c>
      <c r="D6" s="5" t="s">
        <v>291</v>
      </c>
    </row>
    <row r="7" spans="1:4" ht="66" customHeight="1">
      <c r="A7" s="5">
        <v>4</v>
      </c>
      <c r="B7" s="5" t="s">
        <v>295</v>
      </c>
      <c r="C7" s="5" t="s">
        <v>296</v>
      </c>
      <c r="D7" s="5" t="s">
        <v>291</v>
      </c>
    </row>
    <row r="8" spans="1:4" ht="79.150000000000006" customHeight="1">
      <c r="A8" s="5">
        <v>5</v>
      </c>
      <c r="B8" s="5" t="s">
        <v>297</v>
      </c>
      <c r="C8" s="5" t="s">
        <v>298</v>
      </c>
      <c r="D8" s="5" t="s">
        <v>291</v>
      </c>
    </row>
    <row r="9" spans="1:4" ht="92.45" customHeight="1">
      <c r="A9" s="5">
        <v>6</v>
      </c>
      <c r="B9" s="5" t="s">
        <v>299</v>
      </c>
      <c r="C9" s="5" t="s">
        <v>300</v>
      </c>
      <c r="D9" s="5" t="s">
        <v>291</v>
      </c>
    </row>
    <row r="10" spans="1:4" ht="79.150000000000006" customHeight="1">
      <c r="A10" s="5">
        <v>7</v>
      </c>
      <c r="B10" s="5" t="s">
        <v>301</v>
      </c>
      <c r="C10" s="5" t="s">
        <v>302</v>
      </c>
      <c r="D10" s="5" t="s">
        <v>291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06E0-E038-449D-B6AC-38BB86F63C56}">
  <dimension ref="A19:AC19"/>
  <sheetViews>
    <sheetView tabSelected="1" workbookViewId="0">
      <selection sqref="A1:AC1048576"/>
    </sheetView>
  </sheetViews>
  <sheetFormatPr defaultRowHeight="14.25"/>
  <cols>
    <col min="1" max="2" width="9" style="16"/>
    <col min="3" max="3" width="9.875" style="16" bestFit="1" customWidth="1"/>
    <col min="4" max="29" width="9" style="16"/>
  </cols>
  <sheetData>
    <row r="19" ht="23.25" customHeight="1"/>
  </sheetData>
  <mergeCells count="1">
    <mergeCell ref="A1:AC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2026-10-04T08:49:54Z</dcterms:created>
  <dcterms:modified xsi:type="dcterms:W3CDTF">2026-10-04T14:58:45Z</dcterms:modified>
  <cp:category/>
  <cp:contentStatus/>
</cp:coreProperties>
</file>